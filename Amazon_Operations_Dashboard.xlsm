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emmastutzman/Desktop/"/>
    </mc:Choice>
  </mc:AlternateContent>
  <xr:revisionPtr revIDLastSave="0" documentId="13_ncr:1_{53B7A0F8-5D60-1144-9E6D-741D587E0AF5}" xr6:coauthVersionLast="47" xr6:coauthVersionMax="47" xr10:uidLastSave="{00000000-0000-0000-0000-000000000000}"/>
  <bookViews>
    <workbookView xWindow="0" yWindow="500" windowWidth="28800" windowHeight="16040" xr2:uid="{B73F76FF-915B-2642-BDA0-D2DB5A6932FD}"/>
  </bookViews>
  <sheets>
    <sheet name="Dashboard" sheetId="5" r:id="rId1"/>
    <sheet name="Pivots" sheetId="7" r:id="rId2"/>
    <sheet name="Calculations" sheetId="3" r:id="rId3"/>
    <sheet name="Clean Data" sheetId="2" r:id="rId4"/>
    <sheet name="Raw Data" sheetId="1" r:id="rId5"/>
  </sheets>
  <functionGroups builtInGroupCount="19"/>
  <definedNames>
    <definedName name="_xleta.CLEAN" hidden="1" xlm="1">#NAME?</definedName>
  </definedNames>
  <calcPr calcId="181029"/>
  <pivotCaches>
    <pivotCache cacheId="6" r:id="rId6"/>
    <pivotCache cacheId="1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0" i="5" l="1"/>
  <c r="C13" i="5" a="1"/>
  <c r="C13" i="5" s="1"/>
  <c r="B18" i="7" a="1"/>
  <c r="B18" i="7" s="1"/>
  <c r="A18" i="7" a="1"/>
  <c r="A18" i="7" s="1"/>
  <c r="E7" i="5"/>
  <c r="G7" i="5"/>
  <c r="K7" i="5"/>
  <c r="E3" i="3"/>
  <c r="E2" i="3"/>
  <c r="C4" i="5"/>
  <c r="B2" i="3"/>
  <c r="B5" i="3"/>
  <c r="L4" i="5" s="1"/>
  <c r="B4" i="3"/>
  <c r="I4" i="5" s="1"/>
  <c r="B3" i="3"/>
  <c r="F4" i="5" s="1"/>
  <c r="I7" i="5" l="1"/>
  <c r="B7" i="3"/>
  <c r="O4" i="5" s="1"/>
  <c r="B8" i="3"/>
  <c r="B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<sst xmlns="http://schemas.openxmlformats.org/spreadsheetml/2006/main" count="267" uniqueCount="164">
  <si>
    <t>Product ID</t>
  </si>
  <si>
    <t>Product Name</t>
  </si>
  <si>
    <t>Category</t>
  </si>
  <si>
    <t>Price</t>
  </si>
  <si>
    <t>Discount %</t>
  </si>
  <si>
    <t>Rating</t>
  </si>
  <si>
    <t>Stock</t>
  </si>
  <si>
    <t>Brand</t>
  </si>
  <si>
    <t>SKU</t>
  </si>
  <si>
    <t>Essence Mascara Lash Princess</t>
  </si>
  <si>
    <t>beauty</t>
  </si>
  <si>
    <t>Essence</t>
  </si>
  <si>
    <t>BEA-ESS-ESS-001</t>
  </si>
  <si>
    <t>Eyeshadow Palette with Mirror</t>
  </si>
  <si>
    <t>Glamour Beauty</t>
  </si>
  <si>
    <t>BEA-GLA-EYE-002</t>
  </si>
  <si>
    <t>Powder Canister</t>
  </si>
  <si>
    <t>Velvet Touch</t>
  </si>
  <si>
    <t>BEA-VEL-POW-003</t>
  </si>
  <si>
    <t>Red Lipstick</t>
  </si>
  <si>
    <t>Chic Cosmetics</t>
  </si>
  <si>
    <t>BEA-CHI-LIP-004</t>
  </si>
  <si>
    <t>Red Nail Polish</t>
  </si>
  <si>
    <t>Nail Couture</t>
  </si>
  <si>
    <t>BEA-NAI-NAI-005</t>
  </si>
  <si>
    <t>Calvin Klein CK One</t>
  </si>
  <si>
    <t>fragrances</t>
  </si>
  <si>
    <t>Calvin Klein</t>
  </si>
  <si>
    <t>FRA-CAL-CAL-006</t>
  </si>
  <si>
    <t>Chanel Coco Noir Eau De</t>
  </si>
  <si>
    <t>Chanel</t>
  </si>
  <si>
    <t>FRA-CHA-CHA-007</t>
  </si>
  <si>
    <t>Dior J'adore</t>
  </si>
  <si>
    <t>Dior</t>
  </si>
  <si>
    <t>FRA-DIO-DIO-008</t>
  </si>
  <si>
    <t>Dolce Shine Eau de</t>
  </si>
  <si>
    <t>Dolce &amp; Gabbana</t>
  </si>
  <si>
    <t>FRA-DOL-DOL-009</t>
  </si>
  <si>
    <t>Gucci Bloom Eau de</t>
  </si>
  <si>
    <t>Gucci</t>
  </si>
  <si>
    <t>FRA-GUC-GUC-010</t>
  </si>
  <si>
    <t>Cart ID</t>
  </si>
  <si>
    <t>User ID</t>
  </si>
  <si>
    <t>Total Products</t>
  </si>
  <si>
    <t>Total Quantity</t>
  </si>
  <si>
    <t>Order Total</t>
  </si>
  <si>
    <t>Discounted Total</t>
  </si>
  <si>
    <t>Quantity</t>
  </si>
  <si>
    <t>Discounted Price</t>
  </si>
  <si>
    <t>Total</t>
  </si>
  <si>
    <t>Blue Frock</t>
  </si>
  <si>
    <t>Generic Motorcycle</t>
  </si>
  <si>
    <t>iPhone 6</t>
  </si>
  <si>
    <t>Baseball Ball</t>
  </si>
  <si>
    <t>Man Short Sleeve Shirt</t>
  </si>
  <si>
    <t>Apple iPhone Charger</t>
  </si>
  <si>
    <t>Fish Steak</t>
  </si>
  <si>
    <t>iPhone 13 Pro</t>
  </si>
  <si>
    <t>Realme X</t>
  </si>
  <si>
    <t>Party Glasses</t>
  </si>
  <si>
    <t>Sports Sneakers Off White Red</t>
  </si>
  <si>
    <t>Samsung Galaxy Tab White</t>
  </si>
  <si>
    <t>Soft Drinks</t>
  </si>
  <si>
    <t>Rolex Datejust Women</t>
  </si>
  <si>
    <t>Realme XT</t>
  </si>
  <si>
    <t>Classic Sun Glasses</t>
  </si>
  <si>
    <t>Water</t>
  </si>
  <si>
    <t>Electric Stove</t>
  </si>
  <si>
    <t>Vivo X21</t>
  </si>
  <si>
    <t>Vaseline Men Body and Face Lotion</t>
  </si>
  <si>
    <t>Puma Future Rider Trainers</t>
  </si>
  <si>
    <t>Cat Food</t>
  </si>
  <si>
    <t>Black Whisk</t>
  </si>
  <si>
    <t>Annibale Colombo Bed</t>
  </si>
  <si>
    <t>iPhone 12 Silicone Case with MagSafe Plum</t>
  </si>
  <si>
    <t>Apple Watch Series 4 Gold</t>
  </si>
  <si>
    <t>Rolex Submariner Watch</t>
  </si>
  <si>
    <t>Samsung Galaxy S8</t>
  </si>
  <si>
    <t>Tissue Paper Box</t>
  </si>
  <si>
    <t>MotoGP CI.H1</t>
  </si>
  <si>
    <t>Apple AirPods Max Silver</t>
  </si>
  <si>
    <t>Egg Slicer</t>
  </si>
  <si>
    <t>Green Bell Pepper</t>
  </si>
  <si>
    <t>Sportbike Motorcycle</t>
  </si>
  <si>
    <t>Ice Cream</t>
  </si>
  <si>
    <t>Knoll Saarinen Executive Conference Chair</t>
  </si>
  <si>
    <t>Potatoes</t>
  </si>
  <si>
    <t>Eggs</t>
  </si>
  <si>
    <t>Family Tree Photo Frame</t>
  </si>
  <si>
    <t>Pan</t>
  </si>
  <si>
    <t>Lunch Box</t>
  </si>
  <si>
    <t>Hand Blender</t>
  </si>
  <si>
    <t>Apple MagSafe Battery Pack</t>
  </si>
  <si>
    <t>Basketball Rim</t>
  </si>
  <si>
    <t>Cooking Oil</t>
  </si>
  <si>
    <t>Sports Sneakers Off White &amp; Red</t>
  </si>
  <si>
    <t>American Football</t>
  </si>
  <si>
    <t>Green Chili Pepper</t>
  </si>
  <si>
    <t>Dodge Hornet GT Plus</t>
  </si>
  <si>
    <t>Watch Gold for Women</t>
  </si>
  <si>
    <t>Dog Food</t>
  </si>
  <si>
    <t>Rolex Datejust</t>
  </si>
  <si>
    <t>Silver Pot With Glass Cap</t>
  </si>
  <si>
    <t>Plate</t>
  </si>
  <si>
    <t>Protein Powder</t>
  </si>
  <si>
    <t>Feather Shuttlecock</t>
  </si>
  <si>
    <t>Nike Baseball Cleats</t>
  </si>
  <si>
    <t>Asus Zenbook Pro Dual Screen Laptop</t>
  </si>
  <si>
    <t>Gray Dress</t>
  </si>
  <si>
    <t>Apple</t>
  </si>
  <si>
    <t>Tartan Dress</t>
  </si>
  <si>
    <t>Oppo K1</t>
  </si>
  <si>
    <t>Vivo S1</t>
  </si>
  <si>
    <t>Realme C35</t>
  </si>
  <si>
    <t>Milk</t>
  </si>
  <si>
    <t>Selfie Lamp with iPhone</t>
  </si>
  <si>
    <t>Apple HomePod Mini Cosmic Grey</t>
  </si>
  <si>
    <t>Kitchen Sieve</t>
  </si>
  <si>
    <t>Volleyball</t>
  </si>
  <si>
    <t>Green Crystal Earring</t>
  </si>
  <si>
    <t>Knife</t>
  </si>
  <si>
    <t>Plant Pot</t>
  </si>
  <si>
    <t>Black &amp; Brown Slipper</t>
  </si>
  <si>
    <t>White Faux Leather Backpack</t>
  </si>
  <si>
    <t>Lenovo Yoga 920</t>
  </si>
  <si>
    <t>Prada Women Bag</t>
  </si>
  <si>
    <t>Apple Airpower Wireless Charger</t>
  </si>
  <si>
    <t>Bamboo Spatula</t>
  </si>
  <si>
    <t>Cricket Bat</t>
  </si>
  <si>
    <t>Vivo V9</t>
  </si>
  <si>
    <t>Oppo F19 Pro Plus</t>
  </si>
  <si>
    <t>Yellow Peeler</t>
  </si>
  <si>
    <t>Durango SXT RWD</t>
  </si>
  <si>
    <t>Metric</t>
  </si>
  <si>
    <t>Value</t>
  </si>
  <si>
    <t>Total Orders</t>
  </si>
  <si>
    <t>Total Units Sold</t>
  </si>
  <si>
    <t>Gross Sales</t>
  </si>
  <si>
    <t>Discounted Sales</t>
  </si>
  <si>
    <t>Discount Amount</t>
  </si>
  <si>
    <t>Average Order Value</t>
  </si>
  <si>
    <t>Average Units per Order</t>
  </si>
  <si>
    <t>Row Labels</t>
  </si>
  <si>
    <t>Grand Total</t>
  </si>
  <si>
    <t>Sum of Discounted Total</t>
  </si>
  <si>
    <t>Sum of Quantity</t>
  </si>
  <si>
    <t>Sum of Total Products</t>
  </si>
  <si>
    <t>Sum of Total Quantity</t>
  </si>
  <si>
    <t>Sum of Order Total</t>
  </si>
  <si>
    <t>Amazon-Style Fulfillment Operations Dashboard</t>
  </si>
  <si>
    <t>Units Sold</t>
  </si>
  <si>
    <t>Which products generate the most discounted sales?</t>
  </si>
  <si>
    <t>Which products are moving the most units?</t>
  </si>
  <si>
    <t>How much sales value was generated before vs. after discounts?</t>
  </si>
  <si>
    <t>Sales Type</t>
  </si>
  <si>
    <t>Amount</t>
  </si>
  <si>
    <t>Product</t>
  </si>
  <si>
    <t>Discounted Revenue</t>
  </si>
  <si>
    <t xml:space="preserve">Product </t>
  </si>
  <si>
    <t>Product List</t>
  </si>
  <si>
    <t>Cart Explorer</t>
  </si>
  <si>
    <t>Select Cart</t>
  </si>
  <si>
    <t>Cart ID List</t>
  </si>
  <si>
    <t>Cart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</si>
</sst>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20"/>
      <color theme="1"/>
      <name val="Aptos Display"/>
      <scheme val="major"/>
    </font>
    <font>
      <b/>
      <sz val="16"/>
      <color theme="1"/>
      <name val="Aptos Narrow"/>
      <scheme val="minor"/>
    </font>
    <font>
      <b/>
      <sz val="14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24997711111789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64" fontId="3" fillId="2" borderId="4" xfId="0" applyNumberFormat="1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0" fontId="0" fillId="0" borderId="0" xfId="0" applyBorder="1"/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4" fillId="4" borderId="2" xfId="0" applyFont="1" applyFill="1" applyBorder="1"/>
    <xf numFmtId="0" fontId="4" fillId="4" borderId="9" xfId="0" applyFont="1" applyFill="1" applyBorder="1"/>
    <xf numFmtId="0" fontId="4" fillId="4" borderId="3" xfId="0" applyFont="1" applyFill="1" applyBorder="1"/>
    <xf numFmtId="0" fontId="0" fillId="4" borderId="4" xfId="0" applyFill="1" applyBorder="1"/>
    <xf numFmtId="0" fontId="0" fillId="4" borderId="10" xfId="0" applyFill="1" applyBorder="1"/>
    <xf numFmtId="164" fontId="0" fillId="4" borderId="5" xfId="0" applyNumberFormat="1" applyFill="1" applyBorder="1"/>
    <xf numFmtId="0" fontId="4" fillId="5" borderId="6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1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4" fontId="0" fillId="4" borderId="10" xfId="0" applyNumberFormat="1" applyFill="1" applyBorder="1"/>
    <xf numFmtId="0" fontId="0" fillId="4" borderId="9" xfId="0" applyFill="1" applyBorder="1"/>
    <xf numFmtId="0" fontId="1" fillId="0" borderId="1" xfId="0" applyFont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Border="1"/>
    <xf numFmtId="0" fontId="1" fillId="6" borderId="12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4" fillId="6" borderId="0" xfId="0" applyFont="1" applyFill="1" applyBorder="1" applyAlignment="1"/>
    <xf numFmtId="0" fontId="0" fillId="4" borderId="11" xfId="0" applyFill="1" applyBorder="1"/>
    <xf numFmtId="0" fontId="0" fillId="4" borderId="0" xfId="0" applyFill="1" applyBorder="1"/>
    <xf numFmtId="164" fontId="0" fillId="4" borderId="0" xfId="0" applyNumberFormat="1" applyFill="1" applyBorder="1"/>
    <xf numFmtId="2" fontId="0" fillId="4" borderId="0" xfId="0" applyNumberFormat="1" applyFill="1" applyBorder="1"/>
    <xf numFmtId="164" fontId="0" fillId="4" borderId="13" xfId="0" applyNumberFormat="1" applyFill="1" applyBorder="1"/>
    <xf numFmtId="2" fontId="0" fillId="4" borderId="10" xfId="0" applyNumberFormat="1" applyFill="1" applyBorder="1"/>
    <xf numFmtId="164" fontId="4" fillId="4" borderId="9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/>
    <xf numFmtId="0" fontId="4" fillId="4" borderId="10" xfId="0" applyFont="1" applyFill="1" applyBorder="1"/>
    <xf numFmtId="0" fontId="0" fillId="6" borderId="0" xfId="0" applyFill="1" applyAlignment="1">
      <alignment horizontal="center"/>
    </xf>
    <xf numFmtId="0" fontId="1" fillId="6" borderId="0" xfId="0" applyFont="1" applyFill="1" applyBorder="1" applyAlignment="1"/>
    <xf numFmtId="164" fontId="3" fillId="6" borderId="0" xfId="0" applyNumberFormat="1" applyFont="1" applyFill="1" applyBorder="1" applyAlignment="1"/>
    <xf numFmtId="0" fontId="2" fillId="6" borderId="0" xfId="0" applyFont="1" applyFill="1" applyBorder="1" applyAlignment="1"/>
  </cellXfs>
  <cellStyles count="1">
    <cellStyle name="Normal" xfId="0" builtinId="0"/>
  </cellStyles>
  <dxfs count="14">
    <dxf>
      <numFmt numFmtId="0" formatCode="General"/>
    </dxf>
    <dxf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164" formatCode="&quot;$&quot;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[Amazon_Operations_Dashboard.xlsm]Pivots!PivotTable2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Products by Units Sold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Pivots!$D$4:$D$16</c:f>
              <c:strCache>
                <c:ptCount val="12"/>
                <c:pt idx="0">
                  <c:v>Blue Frock</c:v>
                </c:pt>
                <c:pt idx="1">
                  <c:v>iPhone 12 Silicone Case with MagSafe Plum</c:v>
                </c:pt>
                <c:pt idx="2">
                  <c:v>Man Short Sleeve Shirt</c:v>
                </c:pt>
                <c:pt idx="3">
                  <c:v>Rolex Datejust Women</c:v>
                </c:pt>
                <c:pt idx="4">
                  <c:v>iPhone 13 Pro</c:v>
                </c:pt>
                <c:pt idx="5">
                  <c:v>Powder Canister</c:v>
                </c:pt>
                <c:pt idx="6">
                  <c:v>Cooking Oil</c:v>
                </c:pt>
                <c:pt idx="7">
                  <c:v>Green Bell Pepper</c:v>
                </c:pt>
                <c:pt idx="8">
                  <c:v>Potatoes</c:v>
                </c:pt>
                <c:pt idx="9">
                  <c:v>Rolex Datejust</c:v>
                </c:pt>
                <c:pt idx="10">
                  <c:v>Puma Future Rider Trainers</c:v>
                </c:pt>
                <c:pt idx="11">
                  <c:v>Dior J'adore</c:v>
                </c:pt>
              </c:strCache>
            </c:strRef>
          </c:cat>
          <c:val>
            <c:numRef>
              <c:f>Pivots!$E$4:$E$16</c:f>
              <c:numCache>
                <c:formatCode>0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C-7A4D-B494-04BBD9364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7477264"/>
        <c:axId val="1765914176"/>
      </c:barChart>
      <c:catAx>
        <c:axId val="177747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914176"/>
        <c:crosses val="autoZero"/>
        <c:auto val="1"/>
        <c:lblAlgn val="ctr"/>
        <c:lblOffset val="100"/>
        <c:noMultiLvlLbl val="0"/>
      </c:catAx>
      <c:valAx>
        <c:axId val="176591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47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Calculations!$E$1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Calculations!$D$2:$D$3</c:f>
              <c:strCache>
                <c:ptCount val="2"/>
                <c:pt idx="0">
                  <c:v>Gross Sales</c:v>
                </c:pt>
                <c:pt idx="1">
                  <c:v>Discounted Sales</c:v>
                </c:pt>
              </c:strCache>
            </c:strRef>
          </c:cat>
          <c:val>
            <c:numRef>
              <c:f>Calculations!$E$2:$E$3</c:f>
              <c:numCache>
                <c:formatCode>"$"#,##0.00</c:formatCode>
                <c:ptCount val="2"/>
                <c:pt idx="0">
                  <c:v>725678.94999999856</c:v>
                </c:pt>
                <c:pt idx="1">
                  <c:v>651758.23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9-D84E-A813-ACADEC34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5615632"/>
        <c:axId val="1760052400"/>
      </c:barChart>
      <c:catAx>
        <c:axId val="179561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052400"/>
        <c:crosses val="autoZero"/>
        <c:auto val="1"/>
        <c:lblAlgn val="ctr"/>
        <c:lblOffset val="100"/>
        <c:noMultiLvlLbl val="0"/>
      </c:catAx>
      <c:valAx>
        <c:axId val="176005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61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[Amazon_Operations_Dashboard.xlsm]Pivots!PivotTable1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Products by Discounted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Pivots!$A$4:$A$14</c:f>
              <c:strCache>
                <c:ptCount val="10"/>
                <c:pt idx="0">
                  <c:v>Durango SXT RWD</c:v>
                </c:pt>
                <c:pt idx="1">
                  <c:v>Dodge Hornet GT Plus</c:v>
                </c:pt>
                <c:pt idx="2">
                  <c:v>Rolex Datejust Women</c:v>
                </c:pt>
                <c:pt idx="3">
                  <c:v>Rolex Datejust</c:v>
                </c:pt>
                <c:pt idx="4">
                  <c:v>MotoGP CI.H1</c:v>
                </c:pt>
                <c:pt idx="5">
                  <c:v>Rolex Submariner Watch</c:v>
                </c:pt>
                <c:pt idx="6">
                  <c:v>Sportbike Motorcycle</c:v>
                </c:pt>
                <c:pt idx="7">
                  <c:v>Generic Motorcycle</c:v>
                </c:pt>
                <c:pt idx="8">
                  <c:v>iPhone 13 Pro</c:v>
                </c:pt>
                <c:pt idx="9">
                  <c:v>Annibale Colombo Bed</c:v>
                </c:pt>
              </c:strCache>
            </c:strRef>
          </c:cat>
          <c:val>
            <c:numRef>
              <c:f>Pivots!$B$4:$B$14</c:f>
              <c:numCache>
                <c:formatCode>"$"#,##0.00</c:formatCode>
                <c:ptCount val="10"/>
                <c:pt idx="0">
                  <c:v>154585.96</c:v>
                </c:pt>
                <c:pt idx="1">
                  <c:v>121712.45</c:v>
                </c:pt>
                <c:pt idx="2">
                  <c:v>92465.920000000013</c:v>
                </c:pt>
                <c:pt idx="3">
                  <c:v>74127.83</c:v>
                </c:pt>
                <c:pt idx="4">
                  <c:v>55847.96</c:v>
                </c:pt>
                <c:pt idx="5">
                  <c:v>53171.96</c:v>
                </c:pt>
                <c:pt idx="6">
                  <c:v>33157.449999999997</c:v>
                </c:pt>
                <c:pt idx="7">
                  <c:v>21095.94</c:v>
                </c:pt>
                <c:pt idx="8">
                  <c:v>9969.2000000000007</c:v>
                </c:pt>
                <c:pt idx="9">
                  <c:v>5211.4799999999996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1-FE4E-A652-71A59482C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4790320"/>
        <c:axId val="1766522496"/>
      </c:barChart>
      <c:catAx>
        <c:axId val="175479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522496"/>
        <c:crosses val="autoZero"/>
        <c:auto val="1"/>
        <c:lblAlgn val="ctr"/>
        <c:lblOffset val="100"/>
        <c:noMultiLvlLbl val="0"/>
      </c:catAx>
      <c:valAx>
        <c:axId val="176652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79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9</xdr:row>
      <xdr:rowOff>25400</xdr:rowOff>
    </xdr:from>
    <xdr:to>
      <xdr:col>14</xdr:col>
      <xdr:colOff>1320800</xdr:colOff>
      <xdr:row>23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1936A9-E7F2-024D-BB63-3FB0EE6E3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7</xdr:col>
      <xdr:colOff>0</xdr:colOff>
      <xdr:row>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0090ED0-60E2-7347-851C-202AB3E8B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</xdr:colOff>
      <xdr:row>25</xdr:row>
      <xdr:rowOff>0</xdr:rowOff>
    </xdr:from>
    <xdr:to>
      <xdr:col>15</xdr:col>
      <xdr:colOff>15875</xdr:colOff>
      <xdr:row>40</xdr:row>
      <xdr:rowOff>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757688AC-91CD-0240-B36F-77D590C10D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ma Stutzman" refreshedDate="46285.678744212964" createdVersion="8" refreshedVersion="8" minRefreshableVersion="3" recordCount="114" xr:uid="{FF8E5B8F-8745-F24A-8D85-8153DC074202}">
  <cacheSource type="worksheet">
    <worksheetSource name="tblOrderProducts"/>
  </cacheSource>
  <cacheFields count="10">
    <cacheField name="Cart ID" numFmtId="1">
      <sharedItems containsSemiMixedTypes="0" containsString="0" containsNumber="1" containsInteger="1" minValue="1" maxValue="30"/>
    </cacheField>
    <cacheField name="User ID" numFmtId="1">
      <sharedItems containsSemiMixedTypes="0" containsString="0" containsNumber="1" containsInteger="1" minValue="1" maxValue="30"/>
    </cacheField>
    <cacheField name="Product ID" numFmtId="1">
      <sharedItems containsSemiMixedTypes="0" containsString="0" containsNumber="1" containsInteger="1" minValue="1" maxValue="193"/>
    </cacheField>
    <cacheField name="Product Name" numFmtId="0">
      <sharedItems count="87">
        <s v="Blue Frock"/>
        <s v="Generic Motorcycle"/>
        <s v="iPhone 6"/>
        <s v="Baseball Ball"/>
        <s v="Man Short Sleeve Shirt"/>
        <s v="Apple iPhone Charger"/>
        <s v="Fish Steak"/>
        <s v="iPhone 13 Pro"/>
        <s v="Realme X"/>
        <s v="Dior J'adore"/>
        <s v="Party Glasses"/>
        <s v="Sports Sneakers Off White Red"/>
        <s v="Samsung Galaxy Tab White"/>
        <s v="Soft Drinks"/>
        <s v="Powder Canister"/>
        <s v="Rolex Datejust Women"/>
        <s v="Realme XT"/>
        <s v="Classic Sun Glasses"/>
        <s v="Water"/>
        <s v="Electric Stove"/>
        <s v="Vivo X21"/>
        <s v="Dolce Shine Eau de"/>
        <s v="Vaseline Men Body and Face Lotion"/>
        <s v="Puma Future Rider Trainers"/>
        <s v="Cat Food"/>
        <s v="Black Whisk"/>
        <s v="Annibale Colombo Bed"/>
        <s v="iPhone 12 Silicone Case with MagSafe Plum"/>
        <s v="Apple Watch Series 4 Gold"/>
        <s v="Essence Mascara Lash Princess"/>
        <s v="Rolex Submariner Watch"/>
        <s v="Samsung Galaxy S8"/>
        <s v="Tissue Paper Box"/>
        <s v="MotoGP CI.H1"/>
        <s v="Apple AirPods Max Silver"/>
        <s v="Egg Slicer"/>
        <s v="Green Bell Pepper"/>
        <s v="Sportbike Motorcycle"/>
        <s v="Ice Cream"/>
        <s v="Knoll Saarinen Executive Conference Chair"/>
        <s v="Potatoes"/>
        <s v="Eggs"/>
        <s v="Family Tree Photo Frame"/>
        <s v="Pan"/>
        <s v="Lunch Box"/>
        <s v="Hand Blender"/>
        <s v="Apple MagSafe Battery Pack"/>
        <s v="Basketball Rim"/>
        <s v="Cooking Oil"/>
        <s v="Sports Sneakers Off White &amp; Red"/>
        <s v="American Football"/>
        <s v="Green Chili Pepper"/>
        <s v="Dodge Hornet GT Plus"/>
        <s v="Watch Gold for Women"/>
        <s v="Dog Food"/>
        <s v="Rolex Datejust"/>
        <s v="Silver Pot With Glass Cap"/>
        <s v="Plate"/>
        <s v="Protein Powder"/>
        <s v="Feather Shuttlecock"/>
        <s v="Nike Baseball Cleats"/>
        <s v="Asus Zenbook Pro Dual Screen Laptop"/>
        <s v="Gray Dress"/>
        <s v="Apple"/>
        <s v="Tartan Dress"/>
        <s v="Oppo K1"/>
        <s v="Vivo S1"/>
        <s v="Realme C35"/>
        <s v="Milk"/>
        <s v="Selfie Lamp with iPhone"/>
        <s v="Apple HomePod Mini Cosmic Grey"/>
        <s v="Kitchen Sieve"/>
        <s v="Volleyball"/>
        <s v="Green Crystal Earring"/>
        <s v="Knife"/>
        <s v="Plant Pot"/>
        <s v="Black &amp; Brown Slipper"/>
        <s v="White Faux Leather Backpack"/>
        <s v="Lenovo Yoga 920"/>
        <s v="Prada Women Bag"/>
        <s v="Apple Airpower Wireless Charger"/>
        <s v="Bamboo Spatula"/>
        <s v="Cricket Bat"/>
        <s v="Vivo V9"/>
        <s v="Oppo F19 Pro Plus"/>
        <s v="Yellow Peeler"/>
        <s v="Durango SXT RWD"/>
      </sharedItems>
    </cacheField>
    <cacheField name="Quantity" numFmtId="1">
      <sharedItems containsSemiMixedTypes="0" containsString="0" containsNumber="1" containsInteger="1" minValue="1" maxValue="5"/>
    </cacheField>
    <cacheField name="Price" numFmtId="164">
      <sharedItems containsSemiMixedTypes="0" containsString="0" containsNumber="1" minValue="0.99" maxValue="36999.99"/>
    </cacheField>
    <cacheField name="Discount %" numFmtId="2">
      <sharedItems containsSemiMixedTypes="0" containsString="0" containsNumber="1" minValue="0.04" maxValue="19.45"/>
    </cacheField>
    <cacheField name="Discounted Price" numFmtId="164">
      <sharedItems containsSemiMixedTypes="0" containsString="0" containsNumber="1" minValue="0.84229200000000004" maxValue="30917.191643999999"/>
    </cacheField>
    <cacheField name="Total" numFmtId="164">
      <sharedItems containsSemiMixedTypes="0" containsString="0" containsNumber="1" minValue="2.4900000000000002" maxValue="184999.94999999899"/>
    </cacheField>
    <cacheField name="Discounted Total" numFmtId="164">
      <sharedItems containsSemiMixedTypes="0" containsString="0" containsNumber="1" minValue="2.16" maxValue="154585.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ma Stutzman" refreshedDate="46285.704425694443" createdVersion="8" refreshedVersion="8" minRefreshableVersion="3" recordCount="30" xr:uid="{C05099F2-2E97-E24F-81FF-1F7F3A1C11C9}">
  <cacheSource type="worksheet">
    <worksheetSource name="Cart_Order"/>
  </cacheSource>
  <cacheFields count="6">
    <cacheField name="Cart 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User ID" numFmtId="0">
      <sharedItems containsSemiMixedTypes="0" containsString="0" containsNumber="1" containsInteger="1" minValue="1" maxValue="30"/>
    </cacheField>
    <cacheField name="Total Products" numFmtId="0">
      <sharedItems containsSemiMixedTypes="0" containsString="0" containsNumber="1" containsInteger="1" minValue="2" maxValue="6"/>
    </cacheField>
    <cacheField name="Total Quantity" numFmtId="0">
      <sharedItems containsSemiMixedTypes="0" containsString="0" containsNumber="1" containsInteger="1" minValue="5" maxValue="23"/>
    </cacheField>
    <cacheField name="Order Total" numFmtId="0">
      <sharedItems containsSemiMixedTypes="0" containsString="0" containsNumber="1" minValue="16.54" maxValue="186110.85"/>
    </cacheField>
    <cacheField name="Discounted Total" numFmtId="0">
      <sharedItems containsSemiMixedTypes="0" containsString="0" containsNumber="1" minValue="14.97" maxValue="155507.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n v="1"/>
    <n v="1"/>
    <n v="162"/>
    <x v="0"/>
    <n v="4"/>
    <n v="29.99"/>
    <n v="12.13"/>
    <n v="26.352212999999999"/>
    <n v="119.96"/>
    <n v="105.41"/>
  </r>
  <r>
    <n v="1"/>
    <n v="1"/>
    <n v="113"/>
    <x v="1"/>
    <n v="3"/>
    <n v="3999.99"/>
    <n v="12.1"/>
    <n v="3515.9912099999997"/>
    <n v="11999.97"/>
    <n v="10547.97"/>
  </r>
  <r>
    <n v="1"/>
    <n v="1"/>
    <n v="122"/>
    <x v="2"/>
    <n v="3"/>
    <n v="299.99"/>
    <n v="6.69"/>
    <n v="279.92066900000003"/>
    <n v="899.97"/>
    <n v="839.76"/>
  </r>
  <r>
    <n v="1"/>
    <n v="1"/>
    <n v="138"/>
    <x v="3"/>
    <n v="2"/>
    <n v="8.99"/>
    <n v="1.71"/>
    <n v="8.836271"/>
    <n v="17.98"/>
    <n v="17.670000000000002"/>
  </r>
  <r>
    <n v="2"/>
    <n v="2"/>
    <n v="86"/>
    <x v="4"/>
    <n v="5"/>
    <n v="19.989999999999998"/>
    <n v="6.83"/>
    <n v="18.624682999999997"/>
    <n v="99.949999999999903"/>
    <n v="93.12"/>
  </r>
  <r>
    <n v="2"/>
    <n v="2"/>
    <n v="104"/>
    <x v="5"/>
    <n v="2"/>
    <n v="19.989999999999998"/>
    <n v="18.52"/>
    <n v="16.287851999999997"/>
    <n v="39.979999999999997"/>
    <n v="32.58"/>
  </r>
  <r>
    <n v="3"/>
    <n v="3"/>
    <n v="24"/>
    <x v="6"/>
    <n v="1"/>
    <n v="14.99"/>
    <n v="4.2300000000000004"/>
    <n v="14.355923000000001"/>
    <n v="14.99"/>
    <n v="14.36"/>
  </r>
  <r>
    <n v="3"/>
    <n v="3"/>
    <n v="123"/>
    <x v="7"/>
    <n v="1"/>
    <n v="1099.99"/>
    <n v="9.3699999999999992"/>
    <n v="996.92093699999998"/>
    <n v="1099.99"/>
    <n v="996.92"/>
  </r>
  <r>
    <n v="3"/>
    <n v="3"/>
    <n v="129"/>
    <x v="8"/>
    <n v="1"/>
    <n v="299.99"/>
    <n v="6.95"/>
    <n v="279.14069499999999"/>
    <n v="299.99"/>
    <n v="279.14"/>
  </r>
  <r>
    <n v="3"/>
    <n v="3"/>
    <n v="86"/>
    <x v="4"/>
    <n v="5"/>
    <n v="19.989999999999998"/>
    <n v="6.83"/>
    <n v="18.624682999999997"/>
    <n v="99.949999999999903"/>
    <n v="93.12"/>
  </r>
  <r>
    <n v="3"/>
    <n v="3"/>
    <n v="8"/>
    <x v="9"/>
    <n v="2"/>
    <n v="89.99"/>
    <n v="14.72"/>
    <n v="76.743471999999997"/>
    <n v="179.98"/>
    <n v="153.49"/>
  </r>
  <r>
    <n v="3"/>
    <n v="3"/>
    <n v="157"/>
    <x v="10"/>
    <n v="5"/>
    <n v="19.989999999999998"/>
    <n v="11.22"/>
    <n v="17.747122000000001"/>
    <n v="99.949999999999903"/>
    <n v="88.74"/>
  </r>
  <r>
    <n v="4"/>
    <n v="4"/>
    <n v="92"/>
    <x v="11"/>
    <n v="3"/>
    <n v="109.99"/>
    <n v="0.04"/>
    <n v="109.946004"/>
    <n v="329.969999999999"/>
    <n v="329.84"/>
  </r>
  <r>
    <n v="4"/>
    <n v="4"/>
    <n v="8"/>
    <x v="9"/>
    <n v="4"/>
    <n v="89.99"/>
    <n v="14.72"/>
    <n v="76.743471999999997"/>
    <n v="359.96"/>
    <n v="306.97000000000003"/>
  </r>
  <r>
    <n v="5"/>
    <n v="5"/>
    <n v="161"/>
    <x v="12"/>
    <n v="4"/>
    <n v="349.99"/>
    <n v="18.2"/>
    <n v="286.29182000000003"/>
    <n v="1399.96"/>
    <n v="1145.17"/>
  </r>
  <r>
    <n v="5"/>
    <n v="5"/>
    <n v="39"/>
    <x v="13"/>
    <n v="4"/>
    <n v="1.99"/>
    <n v="17.48"/>
    <n v="1.6421479999999999"/>
    <n v="7.96"/>
    <n v="6.57"/>
  </r>
  <r>
    <n v="5"/>
    <n v="5"/>
    <n v="3"/>
    <x v="14"/>
    <n v="4"/>
    <n v="14.99"/>
    <n v="9.84"/>
    <n v="13.514984"/>
    <n v="59.96"/>
    <n v="54.06"/>
  </r>
  <r>
    <n v="6"/>
    <n v="6"/>
    <n v="192"/>
    <x v="15"/>
    <n v="5"/>
    <n v="10999.99"/>
    <n v="15.94"/>
    <n v="9246.5915939999995"/>
    <n v="54999.95"/>
    <n v="46232.959999999999"/>
  </r>
  <r>
    <n v="6"/>
    <n v="6"/>
    <n v="130"/>
    <x v="16"/>
    <n v="1"/>
    <n v="349.99"/>
    <n v="11.51"/>
    <n v="309.70615100000003"/>
    <n v="349.99"/>
    <n v="309.70999999999998"/>
  </r>
  <r>
    <n v="6"/>
    <n v="6"/>
    <n v="155"/>
    <x v="17"/>
    <n v="4"/>
    <n v="24.99"/>
    <n v="4.9400000000000004"/>
    <n v="23.755493999999999"/>
    <n v="99.96"/>
    <n v="95.02"/>
  </r>
  <r>
    <n v="6"/>
    <n v="6"/>
    <n v="42"/>
    <x v="18"/>
    <n v="4"/>
    <n v="0.99"/>
    <n v="14.92"/>
    <n v="0.84229200000000004"/>
    <n v="3.96"/>
    <n v="3.37"/>
  </r>
  <r>
    <n v="7"/>
    <n v="7"/>
    <n v="56"/>
    <x v="19"/>
    <n v="1"/>
    <n v="49.99"/>
    <n v="14.04"/>
    <n v="42.971404"/>
    <n v="49.99"/>
    <n v="42.97"/>
  </r>
  <r>
    <n v="7"/>
    <n v="7"/>
    <n v="136"/>
    <x v="20"/>
    <n v="1"/>
    <n v="499.99"/>
    <n v="17.41"/>
    <n v="412.94174099999998"/>
    <n v="499.99"/>
    <n v="412.94"/>
  </r>
  <r>
    <n v="7"/>
    <n v="7"/>
    <n v="9"/>
    <x v="21"/>
    <n v="2"/>
    <n v="69.989999999999995"/>
    <n v="0.62"/>
    <n v="69.556061999999997"/>
    <n v="139.97999999999999"/>
    <n v="139.11000000000001"/>
  </r>
  <r>
    <n v="7"/>
    <n v="7"/>
    <n v="120"/>
    <x v="22"/>
    <n v="4"/>
    <n v="9.99"/>
    <n v="13.39"/>
    <n v="8.6523389999999996"/>
    <n v="39.96"/>
    <n v="34.61"/>
  </r>
  <r>
    <n v="7"/>
    <n v="7"/>
    <n v="56"/>
    <x v="19"/>
    <n v="1"/>
    <n v="49.99"/>
    <n v="14.04"/>
    <n v="42.971404"/>
    <n v="49.99"/>
    <n v="42.97"/>
  </r>
  <r>
    <n v="7"/>
    <n v="7"/>
    <n v="90"/>
    <x v="23"/>
    <n v="5"/>
    <n v="89.99"/>
    <n v="4.2"/>
    <n v="86.210419999999985"/>
    <n v="449.95"/>
    <n v="431.05"/>
  </r>
  <r>
    <n v="8"/>
    <n v="8"/>
    <n v="18"/>
    <x v="24"/>
    <n v="2"/>
    <n v="8.99"/>
    <n v="9.58"/>
    <n v="8.1287579999999995"/>
    <n v="17.98"/>
    <n v="16.260000000000002"/>
  </r>
  <r>
    <n v="8"/>
    <n v="8"/>
    <n v="50"/>
    <x v="25"/>
    <n v="3"/>
    <n v="9.99"/>
    <n v="10.24"/>
    <n v="8.9670240000000003"/>
    <n v="29.97"/>
    <n v="26.9"/>
  </r>
  <r>
    <n v="8"/>
    <n v="8"/>
    <n v="162"/>
    <x v="0"/>
    <n v="4"/>
    <n v="29.99"/>
    <n v="12.13"/>
    <n v="26.352212999999999"/>
    <n v="119.96"/>
    <n v="105.41"/>
  </r>
  <r>
    <n v="8"/>
    <n v="8"/>
    <n v="11"/>
    <x v="26"/>
    <n v="3"/>
    <n v="1899.99"/>
    <n v="8.57"/>
    <n v="1737.1608570000001"/>
    <n v="5699.97"/>
    <n v="5211.4799999999996"/>
  </r>
  <r>
    <n v="8"/>
    <n v="8"/>
    <n v="108"/>
    <x v="27"/>
    <n v="4"/>
    <n v="29.99"/>
    <n v="13.85"/>
    <n v="25.836385"/>
    <n v="119.96"/>
    <n v="103.35"/>
  </r>
  <r>
    <n v="8"/>
    <n v="8"/>
    <n v="106"/>
    <x v="28"/>
    <n v="1"/>
    <n v="349.99"/>
    <n v="12.02"/>
    <n v="307.92120199999999"/>
    <n v="349.99"/>
    <n v="307.92"/>
  </r>
  <r>
    <n v="9"/>
    <n v="9"/>
    <n v="1"/>
    <x v="29"/>
    <n v="3"/>
    <n v="9.99"/>
    <n v="10.48"/>
    <n v="8.943048000000001"/>
    <n v="29.97"/>
    <n v="26.83"/>
  </r>
  <r>
    <n v="9"/>
    <n v="9"/>
    <n v="98"/>
    <x v="30"/>
    <n v="2"/>
    <n v="13999.99"/>
    <n v="5.05"/>
    <n v="13292.990505"/>
    <n v="27999.98"/>
    <n v="26585.98"/>
  </r>
  <r>
    <n v="9"/>
    <n v="9"/>
    <n v="132"/>
    <x v="31"/>
    <n v="3"/>
    <n v="499.99"/>
    <n v="19.45"/>
    <n v="402.74194499999999"/>
    <n v="1499.97"/>
    <n v="1208.23"/>
  </r>
  <r>
    <n v="9"/>
    <n v="9"/>
    <n v="90"/>
    <x v="23"/>
    <n v="2"/>
    <n v="89.99"/>
    <n v="4.2"/>
    <n v="86.210419999999985"/>
    <n v="179.98"/>
    <n v="172.42"/>
  </r>
  <r>
    <n v="10"/>
    <n v="10"/>
    <n v="41"/>
    <x v="32"/>
    <n v="1"/>
    <n v="2.4900000000000002"/>
    <n v="13.28"/>
    <n v="2.1593279999999999"/>
    <n v="2.4900000000000002"/>
    <n v="2.16"/>
  </r>
  <r>
    <n v="10"/>
    <n v="10"/>
    <n v="108"/>
    <x v="27"/>
    <n v="5"/>
    <n v="29.99"/>
    <n v="13.85"/>
    <n v="25.836385"/>
    <n v="149.94999999999999"/>
    <n v="129.18"/>
  </r>
  <r>
    <n v="11"/>
    <n v="11"/>
    <n v="115"/>
    <x v="33"/>
    <n v="4"/>
    <n v="14999.99"/>
    <n v="6.92"/>
    <n v="13961.990691999999"/>
    <n v="59999.96"/>
    <n v="55847.96"/>
  </r>
  <r>
    <n v="11"/>
    <n v="11"/>
    <n v="101"/>
    <x v="34"/>
    <n v="2"/>
    <n v="549.99"/>
    <n v="13.67"/>
    <n v="474.80636699999997"/>
    <n v="1099.98"/>
    <n v="949.61"/>
  </r>
  <r>
    <n v="11"/>
    <n v="11"/>
    <n v="55"/>
    <x v="35"/>
    <n v="4"/>
    <n v="6.99"/>
    <n v="14.76"/>
    <n v="5.9582760000000006"/>
    <n v="27.96"/>
    <n v="23.83"/>
  </r>
  <r>
    <n v="11"/>
    <n v="11"/>
    <n v="25"/>
    <x v="36"/>
    <n v="3"/>
    <n v="1.29"/>
    <n v="0.16"/>
    <n v="1.287936"/>
    <n v="3.87"/>
    <n v="3.86"/>
  </r>
  <r>
    <n v="11"/>
    <n v="11"/>
    <n v="161"/>
    <x v="12"/>
    <n v="2"/>
    <n v="349.99"/>
    <n v="18.2"/>
    <n v="286.29182000000003"/>
    <n v="699.98"/>
    <n v="572.58000000000004"/>
  </r>
  <r>
    <n v="12"/>
    <n v="12"/>
    <n v="117"/>
    <x v="37"/>
    <n v="1"/>
    <n v="7499.99"/>
    <n v="11.58"/>
    <n v="6631.4911579999998"/>
    <n v="7499.99"/>
    <n v="6631.49"/>
  </r>
  <r>
    <n v="12"/>
    <n v="12"/>
    <n v="28"/>
    <x v="38"/>
    <n v="5"/>
    <n v="5.49"/>
    <n v="8.69"/>
    <n v="5.0129190000000001"/>
    <n v="27.45"/>
    <n v="25.06"/>
  </r>
  <r>
    <n v="12"/>
    <n v="12"/>
    <n v="98"/>
    <x v="30"/>
    <n v="2"/>
    <n v="13999.99"/>
    <n v="5.05"/>
    <n v="13292.990505"/>
    <n v="27999.98"/>
    <n v="26585.98"/>
  </r>
  <r>
    <n v="12"/>
    <n v="12"/>
    <n v="8"/>
    <x v="9"/>
    <n v="1"/>
    <n v="89.99"/>
    <n v="14.72"/>
    <n v="76.743471999999997"/>
    <n v="89.99"/>
    <n v="76.739999999999995"/>
  </r>
  <r>
    <n v="12"/>
    <n v="12"/>
    <n v="162"/>
    <x v="0"/>
    <n v="5"/>
    <n v="29.99"/>
    <n v="12.13"/>
    <n v="26.352212999999999"/>
    <n v="149.94999999999999"/>
    <n v="131.76"/>
  </r>
  <r>
    <n v="12"/>
    <n v="12"/>
    <n v="14"/>
    <x v="39"/>
    <n v="4"/>
    <n v="499.99"/>
    <n v="2.0099999999999998"/>
    <n v="489.940201"/>
    <n v="1999.96"/>
    <n v="1959.76"/>
  </r>
  <r>
    <n v="13"/>
    <n v="13"/>
    <n v="35"/>
    <x v="40"/>
    <n v="2"/>
    <n v="2.29"/>
    <n v="5.38"/>
    <n v="2.166798"/>
    <n v="4.58"/>
    <n v="4.33"/>
  </r>
  <r>
    <n v="13"/>
    <n v="13"/>
    <n v="23"/>
    <x v="41"/>
    <n v="4"/>
    <n v="2.99"/>
    <n v="11.05"/>
    <n v="2.659605"/>
    <n v="11.96"/>
    <n v="10.64"/>
  </r>
  <r>
    <n v="14"/>
    <n v="14"/>
    <n v="44"/>
    <x v="42"/>
    <n v="4"/>
    <n v="29.99"/>
    <n v="14.87"/>
    <n v="25.530486999999997"/>
    <n v="119.96"/>
    <n v="102.12"/>
  </r>
  <r>
    <n v="14"/>
    <n v="14"/>
    <n v="68"/>
    <x v="43"/>
    <n v="1"/>
    <n v="24.99"/>
    <n v="3"/>
    <n v="24.240299999999998"/>
    <n v="24.99"/>
    <n v="24.24"/>
  </r>
  <r>
    <n v="14"/>
    <n v="14"/>
    <n v="65"/>
    <x v="44"/>
    <n v="5"/>
    <n v="12.99"/>
    <n v="10.34"/>
    <n v="11.646834"/>
    <n v="64.95"/>
    <n v="58.23"/>
  </r>
  <r>
    <n v="15"/>
    <n v="15"/>
    <n v="61"/>
    <x v="45"/>
    <n v="2"/>
    <n v="34.99"/>
    <n v="17.02"/>
    <n v="29.034701999999999"/>
    <n v="69.98"/>
    <n v="58.07"/>
  </r>
  <r>
    <n v="15"/>
    <n v="15"/>
    <n v="105"/>
    <x v="46"/>
    <n v="1"/>
    <n v="99.99"/>
    <n v="17.170000000000002"/>
    <n v="82.821716999999992"/>
    <n v="99.99"/>
    <n v="82.82"/>
  </r>
  <r>
    <n v="15"/>
    <n v="15"/>
    <n v="141"/>
    <x v="47"/>
    <n v="2"/>
    <n v="39.99"/>
    <n v="7.74"/>
    <n v="36.894773999999998"/>
    <n v="79.98"/>
    <n v="73.790000000000006"/>
  </r>
  <r>
    <n v="16"/>
    <n v="16"/>
    <n v="20"/>
    <x v="48"/>
    <n v="5"/>
    <n v="4.99"/>
    <n v="9.33"/>
    <n v="4.5244330000000001"/>
    <n v="24.95"/>
    <n v="22.62"/>
  </r>
  <r>
    <n v="16"/>
    <n v="16"/>
    <n v="91"/>
    <x v="49"/>
    <n v="3"/>
    <n v="119.99"/>
    <n v="4.97"/>
    <n v="114.02649700000001"/>
    <n v="359.969999999999"/>
    <n v="342.08"/>
  </r>
  <r>
    <n v="17"/>
    <n v="17"/>
    <n v="123"/>
    <x v="7"/>
    <n v="5"/>
    <n v="1099.99"/>
    <n v="9.3699999999999992"/>
    <n v="996.92093699999998"/>
    <n v="5499.95"/>
    <n v="4984.6000000000004"/>
  </r>
  <r>
    <n v="17"/>
    <n v="17"/>
    <n v="137"/>
    <x v="50"/>
    <n v="1"/>
    <n v="19.989999999999998"/>
    <n v="4.93"/>
    <n v="19.004493"/>
    <n v="19.989999999999998"/>
    <n v="19"/>
  </r>
  <r>
    <n v="17"/>
    <n v="17"/>
    <n v="25"/>
    <x v="36"/>
    <n v="5"/>
    <n v="1.29"/>
    <n v="0.16"/>
    <n v="1.287936"/>
    <n v="6.45"/>
    <n v="6.44"/>
  </r>
  <r>
    <n v="17"/>
    <n v="17"/>
    <n v="26"/>
    <x v="51"/>
    <n v="5"/>
    <n v="0.99"/>
    <n v="1"/>
    <n v="0.98009999999999997"/>
    <n v="4.95"/>
    <n v="4.9000000000000004"/>
  </r>
  <r>
    <n v="18"/>
    <n v="18"/>
    <n v="169"/>
    <x v="52"/>
    <n v="5"/>
    <n v="24999.99"/>
    <n v="2.63"/>
    <n v="24342.490263000003"/>
    <n v="124999.95"/>
    <n v="121712.45"/>
  </r>
  <r>
    <n v="18"/>
    <n v="18"/>
    <n v="193"/>
    <x v="53"/>
    <n v="5"/>
    <n v="799.99"/>
    <n v="18.34"/>
    <n v="653.27183400000001"/>
    <n v="3999.95"/>
    <n v="3266.36"/>
  </r>
  <r>
    <n v="19"/>
    <n v="19"/>
    <n v="22"/>
    <x v="54"/>
    <n v="3"/>
    <n v="10.99"/>
    <n v="10.27"/>
    <n v="9.8613269999999993"/>
    <n v="32.97"/>
    <n v="29.58"/>
  </r>
  <r>
    <n v="19"/>
    <n v="19"/>
    <n v="56"/>
    <x v="19"/>
    <n v="1"/>
    <n v="49.99"/>
    <n v="14.04"/>
    <n v="42.971404"/>
    <n v="49.99"/>
    <n v="42.97"/>
  </r>
  <r>
    <n v="19"/>
    <n v="19"/>
    <n v="97"/>
    <x v="55"/>
    <n v="2"/>
    <n v="10999.99"/>
    <n v="3.73"/>
    <n v="10589.690372999999"/>
    <n v="21999.98"/>
    <n v="21179.38"/>
  </r>
  <r>
    <n v="19"/>
    <n v="19"/>
    <n v="71"/>
    <x v="56"/>
    <n v="1"/>
    <n v="39.99"/>
    <n v="5.7"/>
    <n v="37.710569999999997"/>
    <n v="39.99"/>
    <n v="37.71"/>
  </r>
  <r>
    <n v="19"/>
    <n v="19"/>
    <n v="69"/>
    <x v="57"/>
    <n v="5"/>
    <n v="3.99"/>
    <n v="7.31"/>
    <n v="3.6983310000000005"/>
    <n v="19.95"/>
    <n v="18.489999999999998"/>
  </r>
  <r>
    <n v="20"/>
    <n v="20"/>
    <n v="123"/>
    <x v="7"/>
    <n v="4"/>
    <n v="1099.99"/>
    <n v="9.3699999999999992"/>
    <n v="996.92093699999998"/>
    <n v="4399.96"/>
    <n v="3987.68"/>
  </r>
  <r>
    <n v="20"/>
    <n v="20"/>
    <n v="36"/>
    <x v="58"/>
    <n v="3"/>
    <n v="19.989999999999998"/>
    <n v="7.59"/>
    <n v="18.472759"/>
    <n v="59.97"/>
    <n v="55.42"/>
  </r>
  <r>
    <n v="20"/>
    <n v="20"/>
    <n v="146"/>
    <x v="59"/>
    <n v="2"/>
    <n v="5.99"/>
    <n v="2.95"/>
    <n v="5.8132950000000001"/>
    <n v="11.98"/>
    <n v="11.63"/>
  </r>
  <r>
    <n v="20"/>
    <n v="20"/>
    <n v="89"/>
    <x v="60"/>
    <n v="3"/>
    <n v="79.989999999999995"/>
    <n v="18.04"/>
    <n v="65.559804"/>
    <n v="239.969999999999"/>
    <n v="196.68"/>
  </r>
  <r>
    <n v="21"/>
    <n v="21"/>
    <n v="79"/>
    <x v="61"/>
    <n v="1"/>
    <n v="1799.99"/>
    <n v="11.14"/>
    <n v="1599.4711140000002"/>
    <n v="1799.99"/>
    <n v="1599.47"/>
  </r>
  <r>
    <n v="21"/>
    <n v="21"/>
    <n v="164"/>
    <x v="62"/>
    <n v="4"/>
    <n v="34.99"/>
    <n v="14.28"/>
    <n v="29.993428000000002"/>
    <n v="139.96"/>
    <n v="119.97"/>
  </r>
  <r>
    <n v="21"/>
    <n v="21"/>
    <n v="192"/>
    <x v="15"/>
    <n v="1"/>
    <n v="10999.99"/>
    <n v="15.94"/>
    <n v="9246.5915939999995"/>
    <n v="10999.99"/>
    <n v="9246.59"/>
  </r>
  <r>
    <n v="22"/>
    <n v="22"/>
    <n v="16"/>
    <x v="63"/>
    <n v="4"/>
    <n v="1.99"/>
    <n v="12.62"/>
    <n v="1.7388620000000001"/>
    <n v="7.96"/>
    <n v="6.96"/>
  </r>
  <r>
    <n v="22"/>
    <n v="22"/>
    <n v="92"/>
    <x v="11"/>
    <n v="2"/>
    <n v="109.99"/>
    <n v="0.04"/>
    <n v="109.946004"/>
    <n v="219.98"/>
    <n v="219.89"/>
  </r>
  <r>
    <n v="22"/>
    <n v="22"/>
    <n v="166"/>
    <x v="64"/>
    <n v="2"/>
    <n v="39.99"/>
    <n v="12.95"/>
    <n v="34.811295000000001"/>
    <n v="79.98"/>
    <n v="69.62"/>
  </r>
  <r>
    <n v="23"/>
    <n v="23"/>
    <n v="127"/>
    <x v="65"/>
    <n v="5"/>
    <n v="299.99"/>
    <n v="18.29"/>
    <n v="245.12182900000002"/>
    <n v="1499.95"/>
    <n v="1225.6099999999999"/>
  </r>
  <r>
    <n v="23"/>
    <n v="23"/>
    <n v="134"/>
    <x v="66"/>
    <n v="4"/>
    <n v="249.99"/>
    <n v="10.17"/>
    <n v="224.56601700000002"/>
    <n v="999.96"/>
    <n v="898.26"/>
  </r>
  <r>
    <n v="24"/>
    <n v="24"/>
    <n v="117"/>
    <x v="37"/>
    <n v="4"/>
    <n v="7499.99"/>
    <n v="11.58"/>
    <n v="6631.4911579999998"/>
    <n v="29999.96"/>
    <n v="26525.96"/>
  </r>
  <r>
    <n v="24"/>
    <n v="24"/>
    <n v="128"/>
    <x v="67"/>
    <n v="2"/>
    <n v="149.99"/>
    <n v="15.3"/>
    <n v="127.04153000000001"/>
    <n v="299.98"/>
    <n v="254.08"/>
  </r>
  <r>
    <n v="25"/>
    <n v="25"/>
    <n v="32"/>
    <x v="68"/>
    <n v="2"/>
    <n v="3.49"/>
    <n v="13.74"/>
    <n v="3.0104740000000003"/>
    <n v="6.98"/>
    <n v="6.02"/>
  </r>
  <r>
    <n v="25"/>
    <n v="25"/>
    <n v="106"/>
    <x v="28"/>
    <n v="3"/>
    <n v="349.99"/>
    <n v="12.02"/>
    <n v="307.92120199999999"/>
    <n v="1049.97"/>
    <n v="923.76"/>
  </r>
  <r>
    <n v="25"/>
    <n v="25"/>
    <n v="35"/>
    <x v="40"/>
    <n v="5"/>
    <n v="2.29"/>
    <n v="5.38"/>
    <n v="2.166798"/>
    <n v="11.45"/>
    <n v="10.83"/>
  </r>
  <r>
    <n v="25"/>
    <n v="25"/>
    <n v="110"/>
    <x v="69"/>
    <n v="4"/>
    <n v="14.99"/>
    <n v="19.399999999999999"/>
    <n v="12.081940000000001"/>
    <n v="59.96"/>
    <n v="48.33"/>
  </r>
  <r>
    <n v="25"/>
    <n v="25"/>
    <n v="103"/>
    <x v="70"/>
    <n v="1"/>
    <n v="99.99"/>
    <n v="18.100000000000001"/>
    <n v="81.891809999999992"/>
    <n v="99.99"/>
    <n v="81.89"/>
  </r>
  <r>
    <n v="26"/>
    <n v="26"/>
    <n v="122"/>
    <x v="2"/>
    <n v="3"/>
    <n v="299.99"/>
    <n v="6.69"/>
    <n v="279.92066900000003"/>
    <n v="899.97"/>
    <n v="839.76"/>
  </r>
  <r>
    <n v="26"/>
    <n v="26"/>
    <n v="63"/>
    <x v="71"/>
    <n v="4"/>
    <n v="7.99"/>
    <n v="18.91"/>
    <n v="6.4790909999999995"/>
    <n v="31.96"/>
    <n v="25.92"/>
  </r>
  <r>
    <n v="26"/>
    <n v="26"/>
    <n v="108"/>
    <x v="27"/>
    <n v="4"/>
    <n v="29.99"/>
    <n v="13.85"/>
    <n v="25.836385"/>
    <n v="119.96"/>
    <n v="103.35"/>
  </r>
  <r>
    <n v="26"/>
    <n v="26"/>
    <n v="153"/>
    <x v="72"/>
    <n v="5"/>
    <n v="11.99"/>
    <n v="12.25"/>
    <n v="10.521224999999999"/>
    <n v="59.95"/>
    <n v="52.61"/>
  </r>
  <r>
    <n v="27"/>
    <n v="27"/>
    <n v="192"/>
    <x v="15"/>
    <n v="4"/>
    <n v="10999.99"/>
    <n v="15.94"/>
    <n v="9246.5915939999995"/>
    <n v="43999.96"/>
    <n v="36986.370000000003"/>
  </r>
  <r>
    <n v="27"/>
    <n v="27"/>
    <n v="97"/>
    <x v="55"/>
    <n v="5"/>
    <n v="10999.99"/>
    <n v="3.73"/>
    <n v="10589.690372999999"/>
    <n v="54999.95"/>
    <n v="52948.45"/>
  </r>
  <r>
    <n v="27"/>
    <n v="27"/>
    <n v="20"/>
    <x v="48"/>
    <n v="3"/>
    <n v="4.99"/>
    <n v="9.33"/>
    <n v="4.5244330000000001"/>
    <n v="14.97"/>
    <n v="13.57"/>
  </r>
  <r>
    <n v="27"/>
    <n v="27"/>
    <n v="113"/>
    <x v="1"/>
    <n v="3"/>
    <n v="3999.99"/>
    <n v="12.1"/>
    <n v="3515.9912099999997"/>
    <n v="11999.97"/>
    <n v="10547.97"/>
  </r>
  <r>
    <n v="28"/>
    <n v="28"/>
    <n v="182"/>
    <x v="73"/>
    <n v="5"/>
    <n v="29.99"/>
    <n v="15.24"/>
    <n v="25.419523999999999"/>
    <n v="149.94999999999999"/>
    <n v="127.1"/>
  </r>
  <r>
    <n v="28"/>
    <n v="28"/>
    <n v="64"/>
    <x v="74"/>
    <n v="2"/>
    <n v="14.99"/>
    <n v="18.86"/>
    <n v="12.162886"/>
    <n v="29.98"/>
    <n v="24.33"/>
  </r>
  <r>
    <n v="28"/>
    <n v="28"/>
    <n v="46"/>
    <x v="75"/>
    <n v="3"/>
    <n v="14.99"/>
    <n v="6.84"/>
    <n v="13.964684"/>
    <n v="44.97"/>
    <n v="41.89"/>
  </r>
  <r>
    <n v="28"/>
    <n v="28"/>
    <n v="185"/>
    <x v="76"/>
    <n v="5"/>
    <n v="19.989999999999998"/>
    <n v="3.33"/>
    <n v="19.324332999999999"/>
    <n v="99.949999999999903"/>
    <n v="96.62"/>
  </r>
  <r>
    <n v="28"/>
    <n v="28"/>
    <n v="175"/>
    <x v="77"/>
    <n v="3"/>
    <n v="39.99"/>
    <n v="15.2"/>
    <n v="33.911520000000003"/>
    <n v="119.97"/>
    <n v="101.73"/>
  </r>
  <r>
    <n v="28"/>
    <n v="28"/>
    <n v="81"/>
    <x v="78"/>
    <n v="5"/>
    <n v="1099.99"/>
    <n v="6.55"/>
    <n v="1027.9406550000001"/>
    <n v="5499.95"/>
    <n v="5139.7"/>
  </r>
  <r>
    <n v="29"/>
    <n v="29"/>
    <n v="174"/>
    <x v="79"/>
    <n v="3"/>
    <n v="599.99"/>
    <n v="14.09"/>
    <n v="515.45140900000001"/>
    <n v="1799.97"/>
    <n v="1546.35"/>
  </r>
  <r>
    <n v="29"/>
    <n v="29"/>
    <n v="102"/>
    <x v="80"/>
    <n v="5"/>
    <n v="79.989999999999995"/>
    <n v="4.4800000000000004"/>
    <n v="76.406447999999997"/>
    <n v="399.95"/>
    <n v="382.03"/>
  </r>
  <r>
    <n v="29"/>
    <n v="29"/>
    <n v="48"/>
    <x v="81"/>
    <n v="5"/>
    <n v="7.99"/>
    <n v="2.84"/>
    <n v="7.7630840000000001"/>
    <n v="39.950000000000003"/>
    <n v="38.82"/>
  </r>
  <r>
    <n v="29"/>
    <n v="29"/>
    <n v="141"/>
    <x v="47"/>
    <n v="3"/>
    <n v="39.99"/>
    <n v="7.74"/>
    <n v="36.894773999999998"/>
    <n v="119.97"/>
    <n v="110.68"/>
  </r>
  <r>
    <n v="30"/>
    <n v="30"/>
    <n v="143"/>
    <x v="82"/>
    <n v="1"/>
    <n v="29.99"/>
    <n v="3.29"/>
    <n v="29.003328999999997"/>
    <n v="29.99"/>
    <n v="29"/>
  </r>
  <r>
    <n v="30"/>
    <n v="30"/>
    <n v="135"/>
    <x v="83"/>
    <n v="2"/>
    <n v="299.99"/>
    <n v="17.670000000000002"/>
    <n v="246.98176699999999"/>
    <n v="599.98"/>
    <n v="493.96"/>
  </r>
  <r>
    <n v="30"/>
    <n v="30"/>
    <n v="126"/>
    <x v="84"/>
    <n v="1"/>
    <n v="399.99"/>
    <n v="18.64"/>
    <n v="325.43186400000002"/>
    <n v="399.99"/>
    <n v="325.43"/>
  </r>
  <r>
    <n v="30"/>
    <n v="30"/>
    <n v="77"/>
    <x v="85"/>
    <n v="1"/>
    <n v="5.99"/>
    <n v="12.48"/>
    <n v="5.2424480000000004"/>
    <n v="5.99"/>
    <n v="5.24"/>
  </r>
  <r>
    <n v="30"/>
    <n v="30"/>
    <n v="3"/>
    <x v="14"/>
    <n v="5"/>
    <n v="14.99"/>
    <n v="9.84"/>
    <n v="13.514984"/>
    <n v="74.95"/>
    <n v="67.569999999999993"/>
  </r>
  <r>
    <n v="30"/>
    <n v="30"/>
    <n v="170"/>
    <x v="86"/>
    <n v="5"/>
    <n v="36999.99"/>
    <n v="16.440000000000001"/>
    <n v="30917.191643999999"/>
    <n v="184999.94999999899"/>
    <n v="154585.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1"/>
    <n v="4"/>
    <n v="12"/>
    <n v="13037.88"/>
    <n v="11510.81"/>
  </r>
  <r>
    <x v="1"/>
    <n v="2"/>
    <n v="2"/>
    <n v="7"/>
    <n v="139.93"/>
    <n v="125.7"/>
  </r>
  <r>
    <x v="2"/>
    <n v="3"/>
    <n v="6"/>
    <n v="15"/>
    <n v="1794.85"/>
    <n v="1625.77"/>
  </r>
  <r>
    <x v="3"/>
    <n v="4"/>
    <n v="2"/>
    <n v="7"/>
    <n v="689.93"/>
    <n v="636.80999999999995"/>
  </r>
  <r>
    <x v="4"/>
    <n v="5"/>
    <n v="3"/>
    <n v="12"/>
    <n v="1467.88"/>
    <n v="1205.8"/>
  </r>
  <r>
    <x v="5"/>
    <n v="6"/>
    <n v="4"/>
    <n v="14"/>
    <n v="55453.86"/>
    <n v="46641.06"/>
  </r>
  <r>
    <x v="6"/>
    <n v="7"/>
    <n v="6"/>
    <n v="14"/>
    <n v="1229.8599999999999"/>
    <n v="1103.6500000000001"/>
  </r>
  <r>
    <x v="7"/>
    <n v="8"/>
    <n v="6"/>
    <n v="17"/>
    <n v="6337.83"/>
    <n v="5771.32"/>
  </r>
  <r>
    <x v="8"/>
    <n v="9"/>
    <n v="4"/>
    <n v="10"/>
    <n v="29709.9"/>
    <n v="27993.46"/>
  </r>
  <r>
    <x v="9"/>
    <n v="10"/>
    <n v="2"/>
    <n v="6"/>
    <n v="152.44"/>
    <n v="131.34"/>
  </r>
  <r>
    <x v="10"/>
    <n v="11"/>
    <n v="5"/>
    <n v="15"/>
    <n v="61831.75"/>
    <n v="57397.84"/>
  </r>
  <r>
    <x v="11"/>
    <n v="12"/>
    <n v="6"/>
    <n v="18"/>
    <n v="37767.32"/>
    <n v="35410.79"/>
  </r>
  <r>
    <x v="12"/>
    <n v="13"/>
    <n v="2"/>
    <n v="6"/>
    <n v="16.54"/>
    <n v="14.97"/>
  </r>
  <r>
    <x v="13"/>
    <n v="14"/>
    <n v="3"/>
    <n v="10"/>
    <n v="209.9"/>
    <n v="184.59"/>
  </r>
  <r>
    <x v="14"/>
    <n v="15"/>
    <n v="3"/>
    <n v="5"/>
    <n v="249.95"/>
    <n v="214.68"/>
  </r>
  <r>
    <x v="15"/>
    <n v="16"/>
    <n v="2"/>
    <n v="8"/>
    <n v="384.92"/>
    <n v="364.7"/>
  </r>
  <r>
    <x v="16"/>
    <n v="17"/>
    <n v="4"/>
    <n v="16"/>
    <n v="5531.34"/>
    <n v="5014.9399999999996"/>
  </r>
  <r>
    <x v="17"/>
    <n v="18"/>
    <n v="2"/>
    <n v="10"/>
    <n v="128999.9"/>
    <n v="124978.81"/>
  </r>
  <r>
    <x v="18"/>
    <n v="19"/>
    <n v="5"/>
    <n v="12"/>
    <n v="22142.880000000001"/>
    <n v="21308.13"/>
  </r>
  <r>
    <x v="19"/>
    <n v="20"/>
    <n v="4"/>
    <n v="12"/>
    <n v="4711.88"/>
    <n v="4251.41"/>
  </r>
  <r>
    <x v="20"/>
    <n v="21"/>
    <n v="3"/>
    <n v="6"/>
    <n v="12939.94"/>
    <n v="10966.03"/>
  </r>
  <r>
    <x v="21"/>
    <n v="22"/>
    <n v="3"/>
    <n v="8"/>
    <n v="307.92"/>
    <n v="296.47000000000003"/>
  </r>
  <r>
    <x v="22"/>
    <n v="23"/>
    <n v="2"/>
    <n v="9"/>
    <n v="2499.91"/>
    <n v="2123.87"/>
  </r>
  <r>
    <x v="23"/>
    <n v="24"/>
    <n v="2"/>
    <n v="6"/>
    <n v="30299.94"/>
    <n v="26780.04"/>
  </r>
  <r>
    <x v="24"/>
    <n v="25"/>
    <n v="5"/>
    <n v="15"/>
    <n v="1228.3499999999999"/>
    <n v="1070.83"/>
  </r>
  <r>
    <x v="25"/>
    <n v="26"/>
    <n v="4"/>
    <n v="16"/>
    <n v="1111.8399999999999"/>
    <n v="1021.64"/>
  </r>
  <r>
    <x v="26"/>
    <n v="27"/>
    <n v="4"/>
    <n v="15"/>
    <n v="111014.85"/>
    <n v="100496.36"/>
  </r>
  <r>
    <x v="27"/>
    <n v="28"/>
    <n v="6"/>
    <n v="23"/>
    <n v="5944.77"/>
    <n v="5531.37"/>
  </r>
  <r>
    <x v="28"/>
    <n v="29"/>
    <n v="4"/>
    <n v="16"/>
    <n v="2359.84"/>
    <n v="2077.88"/>
  </r>
  <r>
    <x v="29"/>
    <n v="30"/>
    <n v="6"/>
    <n v="15"/>
    <n v="186110.85"/>
    <n v="155507.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929F6-27CF-1A4B-81A5-446F23885B15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:O34" firstHeaderRow="0" firstDataRow="1" firstDataCol="1"/>
  <pivotFields count="6">
    <pivotField axis="axisRow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31">
    <i>
      <x v="29"/>
    </i>
    <i>
      <x v="17"/>
    </i>
    <i>
      <x v="26"/>
    </i>
    <i>
      <x v="10"/>
    </i>
    <i>
      <x v="5"/>
    </i>
    <i>
      <x v="11"/>
    </i>
    <i>
      <x v="23"/>
    </i>
    <i>
      <x v="8"/>
    </i>
    <i>
      <x v="18"/>
    </i>
    <i>
      <x/>
    </i>
    <i>
      <x v="20"/>
    </i>
    <i>
      <x v="7"/>
    </i>
    <i>
      <x v="27"/>
    </i>
    <i>
      <x v="16"/>
    </i>
    <i>
      <x v="19"/>
    </i>
    <i>
      <x v="22"/>
    </i>
    <i>
      <x v="28"/>
    </i>
    <i>
      <x v="2"/>
    </i>
    <i>
      <x v="4"/>
    </i>
    <i>
      <x v="6"/>
    </i>
    <i>
      <x v="24"/>
    </i>
    <i>
      <x v="25"/>
    </i>
    <i>
      <x v="3"/>
    </i>
    <i>
      <x v="15"/>
    </i>
    <i>
      <x v="21"/>
    </i>
    <i>
      <x v="14"/>
    </i>
    <i>
      <x v="13"/>
    </i>
    <i>
      <x v="9"/>
    </i>
    <i>
      <x v="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otal Products" fld="2" baseField="0" baseItem="0"/>
    <dataField name="Sum of Total Quantity" fld="3" baseField="0" baseItem="0"/>
    <dataField name="Sum of Order Total" fld="4" baseField="0" baseItem="0"/>
    <dataField name="Sum of Discounted Tota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FE741A-D686-1243-8331-B6F4E98F5C5A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I16" firstHeaderRow="0" firstDataRow="1" firstDataCol="1"/>
  <pivotFields count="10">
    <pivotField numFmtId="1" showAll="0"/>
    <pivotField numFmtId="1" showAll="0"/>
    <pivotField numFmtId="1" showAll="0"/>
    <pivotField axis="axisRow" showAll="0" measureFilter="1" sortType="descending">
      <items count="88">
        <item x="50"/>
        <item x="26"/>
        <item x="63"/>
        <item x="34"/>
        <item x="80"/>
        <item x="70"/>
        <item x="5"/>
        <item x="46"/>
        <item x="28"/>
        <item x="61"/>
        <item x="81"/>
        <item x="3"/>
        <item x="47"/>
        <item x="76"/>
        <item x="25"/>
        <item x="0"/>
        <item x="24"/>
        <item x="17"/>
        <item x="48"/>
        <item x="82"/>
        <item x="9"/>
        <item x="52"/>
        <item x="54"/>
        <item x="21"/>
        <item x="86"/>
        <item x="35"/>
        <item x="41"/>
        <item x="19"/>
        <item x="29"/>
        <item x="42"/>
        <item x="59"/>
        <item x="6"/>
        <item x="1"/>
        <item x="62"/>
        <item x="36"/>
        <item x="51"/>
        <item x="73"/>
        <item x="45"/>
        <item x="38"/>
        <item x="27"/>
        <item x="7"/>
        <item x="2"/>
        <item x="71"/>
        <item x="74"/>
        <item x="39"/>
        <item x="78"/>
        <item x="44"/>
        <item x="4"/>
        <item x="68"/>
        <item x="33"/>
        <item x="60"/>
        <item x="84"/>
        <item x="65"/>
        <item x="43"/>
        <item x="10"/>
        <item x="75"/>
        <item x="57"/>
        <item x="40"/>
        <item x="14"/>
        <item x="79"/>
        <item x="58"/>
        <item x="23"/>
        <item x="67"/>
        <item x="8"/>
        <item x="16"/>
        <item x="55"/>
        <item x="15"/>
        <item x="30"/>
        <item x="31"/>
        <item x="12"/>
        <item x="69"/>
        <item x="56"/>
        <item x="13"/>
        <item x="37"/>
        <item x="49"/>
        <item x="11"/>
        <item x="64"/>
        <item x="32"/>
        <item x="22"/>
        <item x="66"/>
        <item x="83"/>
        <item x="20"/>
        <item x="72"/>
        <item x="53"/>
        <item x="18"/>
        <item x="77"/>
        <item x="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" showAll="0"/>
    <pivotField numFmtId="164" showAll="0"/>
    <pivotField numFmtId="2" showAll="0"/>
    <pivotField numFmtId="164" showAll="0"/>
    <pivotField numFmtId="164" showAll="0"/>
    <pivotField dataField="1" numFmtId="164" showAll="0"/>
  </pivotFields>
  <rowFields count="1">
    <field x="3"/>
  </rowFields>
  <rowItems count="13">
    <i>
      <x v="15"/>
    </i>
    <i>
      <x v="39"/>
    </i>
    <i>
      <x v="47"/>
    </i>
    <i>
      <x v="66"/>
    </i>
    <i>
      <x v="40"/>
    </i>
    <i>
      <x v="58"/>
    </i>
    <i>
      <x v="18"/>
    </i>
    <i>
      <x v="34"/>
    </i>
    <i>
      <x v="57"/>
    </i>
    <i>
      <x v="65"/>
    </i>
    <i>
      <x v="61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 numFmtId="1"/>
    <dataField name="Sum of Discounted Total" fld="9" baseField="0" baseItem="0" numFmtId="164"/>
  </dataField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F0280-8AD1-1B43-AE90-D8763B99EF49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D3:E16" firstHeaderRow="1" firstDataRow="1" firstDataCol="1"/>
  <pivotFields count="10">
    <pivotField numFmtId="1" showAll="0"/>
    <pivotField numFmtId="1" showAll="0"/>
    <pivotField numFmtId="1" showAll="0"/>
    <pivotField axis="axisRow" showAll="0" measureFilter="1" sortType="descending">
      <items count="88">
        <item x="50"/>
        <item x="26"/>
        <item x="63"/>
        <item x="34"/>
        <item x="80"/>
        <item x="70"/>
        <item x="5"/>
        <item x="46"/>
        <item x="28"/>
        <item x="61"/>
        <item x="81"/>
        <item x="3"/>
        <item x="47"/>
        <item x="76"/>
        <item x="25"/>
        <item x="0"/>
        <item x="24"/>
        <item x="17"/>
        <item x="48"/>
        <item x="82"/>
        <item x="9"/>
        <item x="52"/>
        <item x="54"/>
        <item x="21"/>
        <item x="86"/>
        <item x="35"/>
        <item x="41"/>
        <item x="19"/>
        <item x="29"/>
        <item x="42"/>
        <item x="59"/>
        <item x="6"/>
        <item x="1"/>
        <item x="62"/>
        <item x="36"/>
        <item x="51"/>
        <item x="73"/>
        <item x="45"/>
        <item x="38"/>
        <item x="27"/>
        <item x="7"/>
        <item x="2"/>
        <item x="71"/>
        <item x="74"/>
        <item x="39"/>
        <item x="78"/>
        <item x="44"/>
        <item x="4"/>
        <item x="68"/>
        <item x="33"/>
        <item x="60"/>
        <item x="84"/>
        <item x="65"/>
        <item x="43"/>
        <item x="10"/>
        <item x="75"/>
        <item x="57"/>
        <item x="40"/>
        <item x="14"/>
        <item x="79"/>
        <item x="58"/>
        <item x="23"/>
        <item x="67"/>
        <item x="8"/>
        <item x="16"/>
        <item x="55"/>
        <item x="15"/>
        <item x="30"/>
        <item x="31"/>
        <item x="12"/>
        <item x="69"/>
        <item x="56"/>
        <item x="13"/>
        <item x="37"/>
        <item x="49"/>
        <item x="11"/>
        <item x="64"/>
        <item x="32"/>
        <item x="22"/>
        <item x="66"/>
        <item x="83"/>
        <item x="20"/>
        <item x="72"/>
        <item x="53"/>
        <item x="18"/>
        <item x="77"/>
        <item x="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" showAll="0"/>
    <pivotField numFmtId="164" showAll="0"/>
    <pivotField numFmtId="2" showAll="0"/>
    <pivotField numFmtId="164" showAll="0"/>
    <pivotField numFmtId="164" showAll="0"/>
    <pivotField numFmtId="164" showAll="0"/>
  </pivotFields>
  <rowFields count="1">
    <field x="3"/>
  </rowFields>
  <rowItems count="13">
    <i>
      <x v="15"/>
    </i>
    <i>
      <x v="39"/>
    </i>
    <i>
      <x v="47"/>
    </i>
    <i>
      <x v="66"/>
    </i>
    <i>
      <x v="40"/>
    </i>
    <i>
      <x v="58"/>
    </i>
    <i>
      <x v="18"/>
    </i>
    <i>
      <x v="34"/>
    </i>
    <i>
      <x v="57"/>
    </i>
    <i>
      <x v="65"/>
    </i>
    <i>
      <x v="61"/>
    </i>
    <i>
      <x v="20"/>
    </i>
    <i t="grand">
      <x/>
    </i>
  </rowItems>
  <colItems count="1">
    <i/>
  </colItems>
  <dataFields count="1">
    <dataField name="Sum of Quantity" fld="4" baseField="0" baseItem="0" numFmtId="1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8110C-1E66-EE4B-9F12-CB5A3872D168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14" firstHeaderRow="1" firstDataRow="1" firstDataCol="1"/>
  <pivotFields count="10">
    <pivotField numFmtId="1" showAll="0"/>
    <pivotField numFmtId="1" showAll="0"/>
    <pivotField numFmtId="1" showAll="0"/>
    <pivotField axis="axisRow" showAll="0" measureFilter="1" sortType="descending">
      <items count="88">
        <item x="50"/>
        <item x="26"/>
        <item x="63"/>
        <item x="34"/>
        <item x="80"/>
        <item x="70"/>
        <item x="5"/>
        <item x="46"/>
        <item x="28"/>
        <item x="61"/>
        <item x="81"/>
        <item x="3"/>
        <item x="47"/>
        <item x="76"/>
        <item x="25"/>
        <item x="0"/>
        <item x="24"/>
        <item x="17"/>
        <item x="48"/>
        <item x="82"/>
        <item x="9"/>
        <item x="52"/>
        <item x="54"/>
        <item x="21"/>
        <item x="86"/>
        <item x="35"/>
        <item x="41"/>
        <item x="19"/>
        <item x="29"/>
        <item x="42"/>
        <item x="59"/>
        <item x="6"/>
        <item x="1"/>
        <item x="62"/>
        <item x="36"/>
        <item x="51"/>
        <item x="73"/>
        <item x="45"/>
        <item x="38"/>
        <item x="27"/>
        <item x="7"/>
        <item x="2"/>
        <item x="71"/>
        <item x="74"/>
        <item x="39"/>
        <item x="78"/>
        <item x="44"/>
        <item x="4"/>
        <item x="68"/>
        <item x="33"/>
        <item x="60"/>
        <item x="84"/>
        <item x="65"/>
        <item x="43"/>
        <item x="10"/>
        <item x="75"/>
        <item x="57"/>
        <item x="40"/>
        <item x="14"/>
        <item x="79"/>
        <item x="58"/>
        <item x="23"/>
        <item x="67"/>
        <item x="8"/>
        <item x="16"/>
        <item x="55"/>
        <item x="15"/>
        <item x="30"/>
        <item x="31"/>
        <item x="12"/>
        <item x="69"/>
        <item x="56"/>
        <item x="13"/>
        <item x="37"/>
        <item x="49"/>
        <item x="11"/>
        <item x="64"/>
        <item x="32"/>
        <item x="22"/>
        <item x="66"/>
        <item x="83"/>
        <item x="20"/>
        <item x="72"/>
        <item x="53"/>
        <item x="18"/>
        <item x="77"/>
        <item x="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numFmtId="164" showAll="0"/>
    <pivotField numFmtId="2" showAll="0"/>
    <pivotField numFmtId="164" showAll="0"/>
    <pivotField numFmtId="164" showAll="0"/>
    <pivotField dataField="1" numFmtId="164" showAll="0"/>
  </pivotFields>
  <rowFields count="1">
    <field x="3"/>
  </rowFields>
  <rowItems count="11">
    <i>
      <x v="24"/>
    </i>
    <i>
      <x v="21"/>
    </i>
    <i>
      <x v="66"/>
    </i>
    <i>
      <x v="65"/>
    </i>
    <i>
      <x v="49"/>
    </i>
    <i>
      <x v="67"/>
    </i>
    <i>
      <x v="73"/>
    </i>
    <i>
      <x v="32"/>
    </i>
    <i>
      <x v="40"/>
    </i>
    <i>
      <x v="1"/>
    </i>
    <i t="grand">
      <x/>
    </i>
  </rowItems>
  <colItems count="1">
    <i/>
  </colItems>
  <dataFields count="1">
    <dataField name="Sum of Discounted Total" fld="9" baseField="0" baseItem="0" numFmtId="164"/>
  </dataFields>
  <chartFormats count="1"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D5AEEC-5D43-CB4A-AF23-78533266575D}" name="Table5" displayName="Table5" ref="A1:B8" totalsRowShown="0">
  <autoFilter ref="A1:B8" xr:uid="{B4D5AEEC-5D43-CB4A-AF23-78533266575D}"/>
  <tableColumns count="2">
    <tableColumn id="1" xr3:uid="{B95272FC-F3DB-3347-8F1F-20D3E0EBE8B2}" name="Metric"/>
    <tableColumn id="2" xr3:uid="{74F1272F-B249-A347-8BA7-E9A5796E47AA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37788A-A9EE-894B-93EA-E877D90EF005}" name="Table6" displayName="Table6" ref="D1:E3" totalsRowShown="0">
  <autoFilter ref="D1:E3" xr:uid="{DC37788A-A9EE-894B-93EA-E877D90EF005}"/>
  <tableColumns count="2">
    <tableColumn id="1" xr3:uid="{DB0EA1FC-F237-4441-8CE0-04F51A12332B}" name="Sales Type"/>
    <tableColumn id="2" xr3:uid="{DA5D14B9-FE72-CE4D-AE00-67D54B13D059}" name="Amount" dataDxfId="1">
      <calculatedColumnFormula>B4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5C4238-93C7-A94B-A010-F94DCD92AB96}" name="tblOrderProducts" displayName="tblOrderProducts" ref="A1:J115" totalsRowShown="0" headerRowDxfId="4">
  <autoFilter ref="A1:J115" xr:uid="{575C4238-93C7-A94B-A010-F94DCD92AB96}"/>
  <tableColumns count="10">
    <tableColumn id="1" xr3:uid="{284A2689-50CC-124E-896C-894D91657577}" name="Cart ID" dataDxfId="13"/>
    <tableColumn id="2" xr3:uid="{18ABAE22-BB7C-A84F-AF48-BD78E4AD50D7}" name="User ID" dataDxfId="12"/>
    <tableColumn id="3" xr3:uid="{436BBBE4-4A6E-A948-8491-CBF636BA8541}" name="Product ID" dataDxfId="11"/>
    <tableColumn id="4" xr3:uid="{4FF344FD-D3AD-874F-AA12-798CFF862823}" name="Product Name"/>
    <tableColumn id="5" xr3:uid="{7A455CB6-684A-1640-B5EC-685B2535787A}" name="Quantity" dataDxfId="10"/>
    <tableColumn id="6" xr3:uid="{96EB6EA3-7472-3D45-96D4-DCB7AA952FD4}" name="Price" dataDxfId="9"/>
    <tableColumn id="7" xr3:uid="{90632AB3-25DA-F64A-A053-9417B59B8A12}" name="Discount %" dataDxfId="8"/>
    <tableColumn id="8" xr3:uid="{9A24263C-BB24-3D4D-BDBA-815F37964E21}" name="Discounted Price" dataDxfId="7"/>
    <tableColumn id="9" xr3:uid="{0300C42B-6E05-B042-855D-1471AF6916C1}" name="Total" dataDxfId="6"/>
    <tableColumn id="10" xr3:uid="{6BA57AE9-924C-924E-AE3F-B20F32ABB530}" name="Discounted Total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8B5B2-9166-F242-AA84-341F8DC1A125}" name="Cart_Order" displayName="Cart_Order" ref="K1:P31" totalsRowShown="0" headerRowDxfId="3">
  <autoFilter ref="K1:P31" xr:uid="{07A8B5B2-9166-F242-AA84-341F8DC1A125}"/>
  <tableColumns count="6">
    <tableColumn id="1" xr3:uid="{9BF8A8F7-794D-9747-8A67-FE22F1428CAF}" name="Cart ID"/>
    <tableColumn id="2" xr3:uid="{D359BC46-8B01-2C4A-94BA-44A532A2027C}" name="User ID"/>
    <tableColumn id="3" xr3:uid="{FC4C3676-96DA-424F-85BE-A09D423D41D2}" name="Total Products"/>
    <tableColumn id="4" xr3:uid="{5D1AC739-14E2-6F4E-A48C-BF026C76581C}" name="Total Quantity"/>
    <tableColumn id="5" xr3:uid="{03EFF4DF-3868-6E47-B3F0-52F06B74620A}" name="Order Total"/>
    <tableColumn id="6" xr3:uid="{BE3714D1-849F-D943-AF69-D540122A6496}" name="Discounted 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A2F450-2AC8-ED47-85FA-518A74BDD14C}" name="Product_Info" displayName="Product_Info" ref="A1:I11" totalsRowShown="0" headerRowDxfId="2">
  <autoFilter ref="A1:I11" xr:uid="{8DA2F450-2AC8-ED47-85FA-518A74BDD14C}"/>
  <tableColumns count="9">
    <tableColumn id="1" xr3:uid="{41BE7C0F-5D88-2845-9D8D-8CD68A06CAD2}" name="Product ID"/>
    <tableColumn id="2" xr3:uid="{D965730E-167E-014D-8474-0D348A2419C0}" name="Product Name"/>
    <tableColumn id="3" xr3:uid="{36D3E1CF-8E19-AC4F-ACAE-AB604EC0D526}" name="Category"/>
    <tableColumn id="4" xr3:uid="{5B17F302-F40D-0540-B80D-95D6A5C5D083}" name="Price" dataDxfId="0"/>
    <tableColumn id="5" xr3:uid="{7E19AA23-B908-A443-810E-927353172B80}" name="Discount %"/>
    <tableColumn id="6" xr3:uid="{D715CECA-CFB9-FF46-BB5E-F494CB67C846}" name="Rating"/>
    <tableColumn id="7" xr3:uid="{82D756C7-67E9-9C48-8954-1FE1EBE1DEEB}" name="Stock"/>
    <tableColumn id="8" xr3:uid="{5E6835F7-1424-4F4D-B6EA-CCBFE1834250}" name="Brand"/>
    <tableColumn id="9" xr3:uid="{874A2138-4A25-7E42-8177-EA27BC1B3425}" name="SK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12161-5710-6242-8AA2-9A539183E4DD}">
  <sheetPr codeName="Sheet5"/>
  <dimension ref="B1:S41"/>
  <sheetViews>
    <sheetView tabSelected="1" topLeftCell="B1" zoomScale="80" zoomScaleNormal="80" workbookViewId="0">
      <selection activeCell="Q12" sqref="Q12"/>
    </sheetView>
  </sheetViews>
  <sheetFormatPr baseColWidth="10" defaultColWidth="0" defaultRowHeight="16" zeroHeight="1" x14ac:dyDescent="0.2"/>
  <cols>
    <col min="1" max="1" width="10.83203125" hidden="1" customWidth="1"/>
    <col min="2" max="2" width="17.33203125" style="38" customWidth="1"/>
    <col min="3" max="3" width="23.1640625" style="38" customWidth="1"/>
    <col min="4" max="4" width="12" style="38" bestFit="1" customWidth="1"/>
    <col min="5" max="5" width="11" style="38" bestFit="1" customWidth="1"/>
    <col min="6" max="6" width="12" style="38" bestFit="1" customWidth="1"/>
    <col min="7" max="7" width="20.83203125" style="38" bestFit="1" customWidth="1"/>
    <col min="8" max="8" width="10.83203125" style="38" customWidth="1"/>
    <col min="9" max="9" width="17.6640625" style="38" bestFit="1" customWidth="1"/>
    <col min="10" max="10" width="10.83203125" style="38" customWidth="1"/>
    <col min="11" max="11" width="12.5" style="38" bestFit="1" customWidth="1"/>
    <col min="12" max="12" width="15.1640625" style="38" bestFit="1" customWidth="1"/>
    <col min="13" max="14" width="10.83203125" style="38" customWidth="1"/>
    <col min="15" max="15" width="17.5" style="38" bestFit="1" customWidth="1"/>
    <col min="16" max="16" width="13.33203125" style="38" customWidth="1"/>
    <col min="17" max="17" width="10.83203125" style="38" customWidth="1"/>
    <col min="20" max="16384" width="10.83203125" hidden="1"/>
  </cols>
  <sheetData>
    <row r="1" spans="2:17" ht="35" customHeight="1" thickBot="1" x14ac:dyDescent="0.35">
      <c r="C1" s="17" t="s">
        <v>149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9"/>
      <c r="Q1" s="60"/>
    </row>
    <row r="2" spans="2:17" s="38" customFormat="1" ht="17" thickBot="1" x14ac:dyDescent="0.25"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</row>
    <row r="3" spans="2:17" s="9" customFormat="1" x14ac:dyDescent="0.2">
      <c r="B3" s="57"/>
      <c r="C3" s="10" t="s">
        <v>135</v>
      </c>
      <c r="D3" s="11"/>
      <c r="E3" s="41"/>
      <c r="F3" s="10" t="s">
        <v>150</v>
      </c>
      <c r="G3" s="11"/>
      <c r="H3" s="42"/>
      <c r="I3" s="10" t="s">
        <v>137</v>
      </c>
      <c r="J3" s="11"/>
      <c r="K3" s="42"/>
      <c r="L3" s="10" t="s">
        <v>138</v>
      </c>
      <c r="M3" s="11"/>
      <c r="N3" s="42"/>
      <c r="O3" s="10" t="s">
        <v>140</v>
      </c>
      <c r="P3" s="11"/>
      <c r="Q3" s="58"/>
    </row>
    <row r="4" spans="2:17" ht="23" thickBot="1" x14ac:dyDescent="0.35">
      <c r="C4" s="12">
        <f>Calculations!B2</f>
        <v>30</v>
      </c>
      <c r="D4" s="13"/>
      <c r="E4" s="41"/>
      <c r="F4" s="12">
        <f>Calculations!B3</f>
        <v>355</v>
      </c>
      <c r="G4" s="13"/>
      <c r="H4" s="42"/>
      <c r="I4" s="14">
        <f>Calculations!B4</f>
        <v>725678.94999999856</v>
      </c>
      <c r="J4" s="15"/>
      <c r="K4" s="42"/>
      <c r="L4" s="14">
        <f>Calculations!B5</f>
        <v>651758.23</v>
      </c>
      <c r="M4" s="15"/>
      <c r="N4" s="42"/>
      <c r="O4" s="14">
        <f>Calculations!B7</f>
        <v>21725.274333333331</v>
      </c>
      <c r="P4" s="15"/>
      <c r="Q4" s="59"/>
    </row>
    <row r="5" spans="2:17" s="38" customFormat="1" ht="17" thickBot="1" x14ac:dyDescent="0.25">
      <c r="E5" s="40"/>
    </row>
    <row r="6" spans="2:17" ht="19" x14ac:dyDescent="0.25">
      <c r="C6" s="20" t="s">
        <v>158</v>
      </c>
      <c r="D6" s="21"/>
      <c r="E6" s="21" t="s">
        <v>150</v>
      </c>
      <c r="F6" s="21"/>
      <c r="G6" s="21" t="s">
        <v>157</v>
      </c>
      <c r="H6" s="36"/>
      <c r="I6" s="21" t="s">
        <v>139</v>
      </c>
      <c r="J6" s="36"/>
      <c r="K6" s="22" t="s">
        <v>137</v>
      </c>
    </row>
    <row r="7" spans="2:17" ht="16" customHeight="1" thickBot="1" x14ac:dyDescent="0.25">
      <c r="C7" s="23" t="s">
        <v>58</v>
      </c>
      <c r="D7" s="24"/>
      <c r="E7" s="24">
        <f>SUMIF('Clean Data'!$D$2:$D$1000,$C$7,'Clean Data'!$E$2:$E$1000)</f>
        <v>1</v>
      </c>
      <c r="F7" s="24"/>
      <c r="G7" s="35">
        <f>SUMIF('Clean Data'!$D$2:$D$1000,$C$7,'Clean Data'!$J$2:$J$1000)</f>
        <v>279.14</v>
      </c>
      <c r="H7" s="24"/>
      <c r="I7" s="35">
        <f>K7-G7</f>
        <v>20.850000000000023</v>
      </c>
      <c r="J7" s="24"/>
      <c r="K7" s="25">
        <f>SUMIF('Clean Data'!D:D,$C$7,'Clean Data'!I:I)</f>
        <v>299.99</v>
      </c>
    </row>
    <row r="8" spans="2:17" s="38" customFormat="1" ht="17" thickBot="1" x14ac:dyDescent="0.25">
      <c r="E8" s="40"/>
    </row>
    <row r="9" spans="2:17" ht="20" thickBot="1" x14ac:dyDescent="0.3">
      <c r="C9" s="34" t="s">
        <v>160</v>
      </c>
      <c r="D9" s="53"/>
      <c r="E9" s="53"/>
      <c r="F9" s="54"/>
      <c r="G9" s="43"/>
      <c r="J9" s="26" t="s">
        <v>152</v>
      </c>
      <c r="K9" s="27"/>
      <c r="L9" s="27"/>
      <c r="M9" s="27"/>
      <c r="N9" s="27"/>
      <c r="O9" s="28"/>
      <c r="P9" s="52"/>
    </row>
    <row r="10" spans="2:17" ht="20" thickBot="1" x14ac:dyDescent="0.3">
      <c r="C10" s="55" t="s">
        <v>161</v>
      </c>
      <c r="D10" s="33">
        <v>10</v>
      </c>
      <c r="E10" s="56" t="s">
        <v>163</v>
      </c>
      <c r="F10" s="25">
        <f>SUMIF('Clean Data'!A:A, $D$10,'Clean Data'!J:J)</f>
        <v>131.34</v>
      </c>
      <c r="H10" s="43"/>
      <c r="J10"/>
      <c r="K10"/>
      <c r="L10"/>
      <c r="M10"/>
      <c r="N10"/>
      <c r="O10"/>
    </row>
    <row r="11" spans="2:17" s="38" customFormat="1" ht="17" thickBot="1" x14ac:dyDescent="0.25"/>
    <row r="12" spans="2:17" ht="19" x14ac:dyDescent="0.25">
      <c r="C12" s="30" t="s">
        <v>156</v>
      </c>
      <c r="D12" s="31" t="s">
        <v>47</v>
      </c>
      <c r="E12" s="50" t="s">
        <v>3</v>
      </c>
      <c r="F12" s="51" t="s">
        <v>4</v>
      </c>
      <c r="G12" s="32" t="s">
        <v>46</v>
      </c>
      <c r="J12"/>
      <c r="K12"/>
      <c r="L12"/>
      <c r="M12"/>
      <c r="N12"/>
      <c r="O12"/>
    </row>
    <row r="13" spans="2:17" x14ac:dyDescent="0.2">
      <c r="C13" s="44" t="str" cm="1">
        <f t="array" ref="C13:G14">_xlfn._xlws.FILTER(_xlfn.CHOOSECOLS('Clean Data'!D2:J1000,1,2,3,4,7),'Clean Data'!A2:A1000=$D$10,"No products found")</f>
        <v>Tissue Paper Box</v>
      </c>
      <c r="D13" s="45">
        <v>1</v>
      </c>
      <c r="E13" s="46">
        <v>2.4900000000000002</v>
      </c>
      <c r="F13" s="47">
        <v>13.28</v>
      </c>
      <c r="G13" s="48">
        <v>2.16</v>
      </c>
      <c r="J13"/>
      <c r="K13"/>
      <c r="L13"/>
      <c r="M13"/>
      <c r="N13"/>
      <c r="O13"/>
    </row>
    <row r="14" spans="2:17" x14ac:dyDescent="0.2">
      <c r="C14" s="44" t="str">
        <v>iPhone 12 Silicone Case with MagSafe Plum</v>
      </c>
      <c r="D14" s="45">
        <v>5</v>
      </c>
      <c r="E14" s="46">
        <v>29.99</v>
      </c>
      <c r="F14" s="47">
        <v>13.85</v>
      </c>
      <c r="G14" s="48">
        <v>129.18</v>
      </c>
      <c r="J14"/>
      <c r="K14"/>
      <c r="L14"/>
      <c r="M14"/>
      <c r="N14"/>
      <c r="O14"/>
    </row>
    <row r="15" spans="2:17" x14ac:dyDescent="0.2">
      <c r="C15" s="44"/>
      <c r="D15" s="45"/>
      <c r="E15" s="46"/>
      <c r="F15" s="47"/>
      <c r="G15" s="48"/>
      <c r="J15"/>
      <c r="K15"/>
      <c r="L15"/>
      <c r="M15"/>
      <c r="N15"/>
      <c r="O15"/>
    </row>
    <row r="16" spans="2:17" x14ac:dyDescent="0.2">
      <c r="C16" s="44"/>
      <c r="D16" s="45"/>
      <c r="E16" s="46"/>
      <c r="F16" s="47"/>
      <c r="G16" s="48"/>
      <c r="J16"/>
      <c r="K16"/>
      <c r="L16"/>
      <c r="M16"/>
      <c r="N16"/>
      <c r="O16"/>
    </row>
    <row r="17" spans="3:16" x14ac:dyDescent="0.2">
      <c r="C17" s="44"/>
      <c r="D17" s="45"/>
      <c r="E17" s="46"/>
      <c r="F17" s="47"/>
      <c r="G17" s="48"/>
      <c r="J17"/>
      <c r="K17"/>
      <c r="L17"/>
      <c r="M17"/>
      <c r="N17"/>
      <c r="O17"/>
    </row>
    <row r="18" spans="3:16" ht="17" thickBot="1" x14ac:dyDescent="0.25">
      <c r="C18" s="23"/>
      <c r="D18" s="24"/>
      <c r="E18" s="35"/>
      <c r="F18" s="49"/>
      <c r="G18" s="25"/>
      <c r="J18"/>
      <c r="K18"/>
      <c r="L18"/>
      <c r="M18"/>
      <c r="N18"/>
      <c r="O18"/>
    </row>
    <row r="19" spans="3:16" s="38" customFormat="1" x14ac:dyDescent="0.2"/>
    <row r="20" spans="3:16" x14ac:dyDescent="0.2">
      <c r="J20"/>
      <c r="K20"/>
      <c r="L20"/>
      <c r="M20"/>
      <c r="N20"/>
      <c r="O20"/>
    </row>
    <row r="21" spans="3:16" x14ac:dyDescent="0.2">
      <c r="J21"/>
      <c r="K21"/>
      <c r="L21"/>
      <c r="M21"/>
      <c r="N21"/>
      <c r="O21"/>
    </row>
    <row r="22" spans="3:16" x14ac:dyDescent="0.2">
      <c r="J22"/>
      <c r="K22"/>
      <c r="L22"/>
      <c r="M22"/>
      <c r="N22"/>
      <c r="O22"/>
    </row>
    <row r="23" spans="3:16" x14ac:dyDescent="0.2">
      <c r="J23"/>
      <c r="K23"/>
      <c r="L23"/>
      <c r="M23"/>
      <c r="N23"/>
      <c r="O23"/>
    </row>
    <row r="24" spans="3:16" ht="17" thickBot="1" x14ac:dyDescent="0.25"/>
    <row r="25" spans="3:16" ht="20" thickBot="1" x14ac:dyDescent="0.3">
      <c r="C25" s="26" t="s">
        <v>153</v>
      </c>
      <c r="D25" s="27"/>
      <c r="E25" s="27"/>
      <c r="F25" s="27"/>
      <c r="G25" s="28"/>
      <c r="H25" s="43"/>
      <c r="I25" s="43"/>
      <c r="J25" s="26" t="s">
        <v>151</v>
      </c>
      <c r="K25" s="27"/>
      <c r="L25" s="27"/>
      <c r="M25" s="27"/>
      <c r="N25" s="27"/>
      <c r="O25" s="28"/>
      <c r="P25" s="52"/>
    </row>
    <row r="26" spans="3:16" x14ac:dyDescent="0.2">
      <c r="C26" s="16"/>
      <c r="D26" s="16"/>
      <c r="E26" s="16"/>
      <c r="F26" s="16"/>
      <c r="G26" s="16"/>
      <c r="H26" s="40"/>
      <c r="J26"/>
      <c r="K26"/>
      <c r="L26"/>
      <c r="M26"/>
      <c r="N26"/>
      <c r="O26"/>
    </row>
    <row r="27" spans="3:16" x14ac:dyDescent="0.2">
      <c r="C27"/>
      <c r="D27"/>
      <c r="E27"/>
      <c r="F27"/>
      <c r="G27"/>
      <c r="J27"/>
      <c r="K27"/>
      <c r="L27"/>
      <c r="M27"/>
      <c r="N27"/>
      <c r="O27"/>
    </row>
    <row r="28" spans="3:16" x14ac:dyDescent="0.2">
      <c r="C28"/>
      <c r="D28"/>
      <c r="E28"/>
      <c r="F28"/>
      <c r="G28"/>
      <c r="J28"/>
      <c r="K28"/>
      <c r="L28"/>
      <c r="M28"/>
      <c r="N28"/>
      <c r="O28"/>
    </row>
    <row r="29" spans="3:16" x14ac:dyDescent="0.2">
      <c r="C29"/>
      <c r="D29"/>
      <c r="E29"/>
      <c r="F29"/>
      <c r="G29"/>
      <c r="J29"/>
      <c r="K29"/>
      <c r="L29"/>
      <c r="M29"/>
      <c r="N29"/>
      <c r="O29"/>
    </row>
    <row r="30" spans="3:16" x14ac:dyDescent="0.2">
      <c r="C30"/>
      <c r="D30"/>
      <c r="E30"/>
      <c r="F30"/>
      <c r="G30"/>
      <c r="J30"/>
      <c r="K30"/>
      <c r="L30"/>
      <c r="M30"/>
      <c r="N30"/>
      <c r="O30"/>
    </row>
    <row r="31" spans="3:16" x14ac:dyDescent="0.2">
      <c r="C31"/>
      <c r="D31"/>
      <c r="E31"/>
      <c r="F31"/>
      <c r="G31"/>
      <c r="J31"/>
      <c r="K31"/>
      <c r="L31"/>
      <c r="M31"/>
      <c r="N31"/>
      <c r="O31"/>
    </row>
    <row r="32" spans="3:16" x14ac:dyDescent="0.2">
      <c r="C32"/>
      <c r="D32"/>
      <c r="E32"/>
      <c r="F32"/>
      <c r="G32"/>
      <c r="J32"/>
      <c r="K32"/>
      <c r="L32"/>
      <c r="M32"/>
      <c r="N32"/>
      <c r="O32"/>
    </row>
    <row r="33" spans="3:15" x14ac:dyDescent="0.2">
      <c r="C33"/>
      <c r="D33"/>
      <c r="E33"/>
      <c r="F33"/>
      <c r="G33"/>
      <c r="J33"/>
      <c r="K33"/>
      <c r="L33"/>
      <c r="M33"/>
      <c r="N33"/>
      <c r="O33"/>
    </row>
    <row r="34" spans="3:15" x14ac:dyDescent="0.2">
      <c r="C34"/>
      <c r="D34"/>
      <c r="E34"/>
      <c r="F34"/>
      <c r="G34"/>
      <c r="J34"/>
      <c r="K34"/>
      <c r="L34"/>
      <c r="M34"/>
      <c r="N34"/>
      <c r="O34"/>
    </row>
    <row r="35" spans="3:15" x14ac:dyDescent="0.2">
      <c r="C35"/>
      <c r="D35"/>
      <c r="E35"/>
      <c r="F35"/>
      <c r="G35"/>
      <c r="J35"/>
      <c r="K35"/>
      <c r="L35"/>
      <c r="M35"/>
      <c r="N35"/>
      <c r="O35"/>
    </row>
    <row r="36" spans="3:15" x14ac:dyDescent="0.2">
      <c r="C36"/>
      <c r="D36"/>
      <c r="E36"/>
      <c r="F36"/>
      <c r="G36"/>
      <c r="J36"/>
      <c r="K36"/>
      <c r="L36"/>
      <c r="M36"/>
      <c r="N36"/>
      <c r="O36"/>
    </row>
    <row r="37" spans="3:15" x14ac:dyDescent="0.2">
      <c r="C37"/>
      <c r="D37"/>
      <c r="E37"/>
      <c r="F37"/>
      <c r="G37"/>
      <c r="J37"/>
      <c r="K37"/>
      <c r="L37"/>
      <c r="M37"/>
      <c r="N37"/>
      <c r="O37"/>
    </row>
    <row r="38" spans="3:15" x14ac:dyDescent="0.2">
      <c r="C38"/>
      <c r="D38"/>
      <c r="E38"/>
      <c r="F38"/>
      <c r="G38"/>
      <c r="J38"/>
      <c r="K38"/>
      <c r="L38"/>
      <c r="M38"/>
      <c r="N38"/>
      <c r="O38"/>
    </row>
    <row r="39" spans="3:15" x14ac:dyDescent="0.2"/>
    <row r="40" spans="3:15" x14ac:dyDescent="0.2"/>
    <row r="41" spans="3:15" s="38" customFormat="1" x14ac:dyDescent="0.2"/>
  </sheetData>
  <mergeCells count="20">
    <mergeCell ref="O4:P4"/>
    <mergeCell ref="J9:O9"/>
    <mergeCell ref="C25:G25"/>
    <mergeCell ref="J25:O25"/>
    <mergeCell ref="C9:F9"/>
    <mergeCell ref="C2:Q2"/>
    <mergeCell ref="E3:E4"/>
    <mergeCell ref="H3:H4"/>
    <mergeCell ref="K3:K4"/>
    <mergeCell ref="N3:N4"/>
    <mergeCell ref="C1:P1"/>
    <mergeCell ref="O3:P3"/>
    <mergeCell ref="C3:D3"/>
    <mergeCell ref="C4:D4"/>
    <mergeCell ref="F3:G3"/>
    <mergeCell ref="F4:G4"/>
    <mergeCell ref="I3:J3"/>
    <mergeCell ref="I4:J4"/>
    <mergeCell ref="L3:M3"/>
    <mergeCell ref="L4:M4"/>
  </mergeCell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F12F1F-CE0B-F047-8512-600FBBCB58E6}">
          <x14:formula1>
            <xm:f>_xlfn.ANCHORARRAY(Pivots!$A$18)</xm:f>
          </x14:formula1>
          <xm:sqref>C7</xm:sqref>
        </x14:dataValidation>
        <x14:dataValidation type="list" allowBlank="1" showInputMessage="1" showErrorMessage="1" xr:uid="{0E813DCD-F26C-4D46-9D9E-ACCBE19BE0DF}">
          <x14:formula1>
            <xm:f>_xlfn.ANCHORARRAY(Pivots!$B$18)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CF7EF-9F19-8642-AF91-F7E64D4C5DFD}">
  <dimension ref="A3:O105"/>
  <sheetViews>
    <sheetView workbookViewId="0">
      <selection activeCell="D23" sqref="D23"/>
    </sheetView>
  </sheetViews>
  <sheetFormatPr baseColWidth="10" defaultRowHeight="16" x14ac:dyDescent="0.2"/>
  <cols>
    <col min="1" max="1" width="36.33203125" bestFit="1" customWidth="1"/>
    <col min="2" max="2" width="21.1640625" bestFit="1" customWidth="1"/>
    <col min="4" max="4" width="36.33203125" bestFit="1" customWidth="1"/>
    <col min="5" max="5" width="14.1640625" bestFit="1" customWidth="1"/>
    <col min="7" max="7" width="36.33203125" bestFit="1" customWidth="1"/>
    <col min="8" max="8" width="14.1640625" bestFit="1" customWidth="1"/>
    <col min="9" max="9" width="21.1640625" bestFit="1" customWidth="1"/>
    <col min="11" max="11" width="13" bestFit="1" customWidth="1"/>
    <col min="12" max="12" width="19.1640625" bestFit="1" customWidth="1"/>
    <col min="13" max="13" width="18.6640625" bestFit="1" customWidth="1"/>
    <col min="14" max="14" width="16.33203125" bestFit="1" customWidth="1"/>
    <col min="15" max="15" width="21.1640625" bestFit="1" customWidth="1"/>
  </cols>
  <sheetData>
    <row r="3" spans="1:15" x14ac:dyDescent="0.2">
      <c r="A3" s="6" t="s">
        <v>142</v>
      </c>
      <c r="B3" t="s">
        <v>144</v>
      </c>
      <c r="D3" s="6" t="s">
        <v>142</v>
      </c>
      <c r="E3" t="s">
        <v>145</v>
      </c>
      <c r="G3" s="6" t="s">
        <v>142</v>
      </c>
      <c r="H3" t="s">
        <v>145</v>
      </c>
      <c r="I3" t="s">
        <v>144</v>
      </c>
      <c r="K3" s="6" t="s">
        <v>142</v>
      </c>
      <c r="L3" t="s">
        <v>146</v>
      </c>
      <c r="M3" t="s">
        <v>147</v>
      </c>
      <c r="N3" t="s">
        <v>148</v>
      </c>
      <c r="O3" t="s">
        <v>144</v>
      </c>
    </row>
    <row r="4" spans="1:15" x14ac:dyDescent="0.2">
      <c r="A4" s="7" t="s">
        <v>132</v>
      </c>
      <c r="B4" s="4">
        <v>154585.96</v>
      </c>
      <c r="D4" s="7" t="s">
        <v>50</v>
      </c>
      <c r="E4" s="3">
        <v>13</v>
      </c>
      <c r="G4" s="7" t="s">
        <v>50</v>
      </c>
      <c r="H4" s="3">
        <v>13</v>
      </c>
      <c r="I4" s="4">
        <v>342.58</v>
      </c>
      <c r="K4" s="7">
        <v>30</v>
      </c>
      <c r="L4" s="8">
        <v>6</v>
      </c>
      <c r="M4" s="8">
        <v>15</v>
      </c>
      <c r="N4" s="8">
        <v>186110.85</v>
      </c>
      <c r="O4" s="8">
        <v>155507.16</v>
      </c>
    </row>
    <row r="5" spans="1:15" x14ac:dyDescent="0.2">
      <c r="A5" s="7" t="s">
        <v>98</v>
      </c>
      <c r="B5" s="4">
        <v>121712.45</v>
      </c>
      <c r="D5" s="7" t="s">
        <v>74</v>
      </c>
      <c r="E5" s="3">
        <v>13</v>
      </c>
      <c r="G5" s="7" t="s">
        <v>74</v>
      </c>
      <c r="H5" s="3">
        <v>13</v>
      </c>
      <c r="I5" s="4">
        <v>335.88</v>
      </c>
      <c r="K5" s="7">
        <v>18</v>
      </c>
      <c r="L5" s="8">
        <v>2</v>
      </c>
      <c r="M5" s="8">
        <v>10</v>
      </c>
      <c r="N5" s="8">
        <v>128999.9</v>
      </c>
      <c r="O5" s="8">
        <v>124978.81</v>
      </c>
    </row>
    <row r="6" spans="1:15" x14ac:dyDescent="0.2">
      <c r="A6" s="7" t="s">
        <v>63</v>
      </c>
      <c r="B6" s="4">
        <v>92465.920000000013</v>
      </c>
      <c r="D6" s="7" t="s">
        <v>54</v>
      </c>
      <c r="E6" s="3">
        <v>10</v>
      </c>
      <c r="G6" s="7" t="s">
        <v>54</v>
      </c>
      <c r="H6" s="3">
        <v>10</v>
      </c>
      <c r="I6" s="4">
        <v>186.24</v>
      </c>
      <c r="K6" s="7">
        <v>27</v>
      </c>
      <c r="L6" s="8">
        <v>4</v>
      </c>
      <c r="M6" s="8">
        <v>15</v>
      </c>
      <c r="N6" s="8">
        <v>111014.85</v>
      </c>
      <c r="O6" s="8">
        <v>100496.36</v>
      </c>
    </row>
    <row r="7" spans="1:15" x14ac:dyDescent="0.2">
      <c r="A7" s="7" t="s">
        <v>101</v>
      </c>
      <c r="B7" s="4">
        <v>74127.83</v>
      </c>
      <c r="D7" s="7" t="s">
        <v>63</v>
      </c>
      <c r="E7" s="3">
        <v>10</v>
      </c>
      <c r="G7" s="7" t="s">
        <v>63</v>
      </c>
      <c r="H7" s="3">
        <v>10</v>
      </c>
      <c r="I7" s="4">
        <v>92465.920000000013</v>
      </c>
      <c r="K7" s="7">
        <v>11</v>
      </c>
      <c r="L7" s="8">
        <v>5</v>
      </c>
      <c r="M7" s="8">
        <v>15</v>
      </c>
      <c r="N7" s="8">
        <v>61831.75</v>
      </c>
      <c r="O7" s="8">
        <v>57397.84</v>
      </c>
    </row>
    <row r="8" spans="1:15" x14ac:dyDescent="0.2">
      <c r="A8" s="7" t="s">
        <v>79</v>
      </c>
      <c r="B8" s="4">
        <v>55847.96</v>
      </c>
      <c r="D8" s="7" t="s">
        <v>57</v>
      </c>
      <c r="E8" s="3">
        <v>10</v>
      </c>
      <c r="G8" s="7" t="s">
        <v>57</v>
      </c>
      <c r="H8" s="3">
        <v>10</v>
      </c>
      <c r="I8" s="4">
        <v>9969.2000000000007</v>
      </c>
      <c r="K8" s="7">
        <v>6</v>
      </c>
      <c r="L8" s="8">
        <v>4</v>
      </c>
      <c r="M8" s="8">
        <v>14</v>
      </c>
      <c r="N8" s="8">
        <v>55453.86</v>
      </c>
      <c r="O8" s="8">
        <v>46641.06</v>
      </c>
    </row>
    <row r="9" spans="1:15" x14ac:dyDescent="0.2">
      <c r="A9" s="7" t="s">
        <v>76</v>
      </c>
      <c r="B9" s="4">
        <v>53171.96</v>
      </c>
      <c r="D9" s="7" t="s">
        <v>16</v>
      </c>
      <c r="E9" s="3">
        <v>9</v>
      </c>
      <c r="G9" s="7" t="s">
        <v>16</v>
      </c>
      <c r="H9" s="3">
        <v>9</v>
      </c>
      <c r="I9" s="4">
        <v>121.63</v>
      </c>
      <c r="K9" s="7">
        <v>12</v>
      </c>
      <c r="L9" s="8">
        <v>6</v>
      </c>
      <c r="M9" s="8">
        <v>18</v>
      </c>
      <c r="N9" s="8">
        <v>37767.32</v>
      </c>
      <c r="O9" s="8">
        <v>35410.79</v>
      </c>
    </row>
    <row r="10" spans="1:15" x14ac:dyDescent="0.2">
      <c r="A10" s="7" t="s">
        <v>83</v>
      </c>
      <c r="B10" s="4">
        <v>33157.449999999997</v>
      </c>
      <c r="D10" s="7" t="s">
        <v>94</v>
      </c>
      <c r="E10" s="3">
        <v>8</v>
      </c>
      <c r="G10" s="7" t="s">
        <v>94</v>
      </c>
      <c r="H10" s="3">
        <v>8</v>
      </c>
      <c r="I10" s="4">
        <v>36.19</v>
      </c>
      <c r="K10" s="7">
        <v>24</v>
      </c>
      <c r="L10" s="8">
        <v>2</v>
      </c>
      <c r="M10" s="8">
        <v>6</v>
      </c>
      <c r="N10" s="8">
        <v>30299.94</v>
      </c>
      <c r="O10" s="8">
        <v>26780.04</v>
      </c>
    </row>
    <row r="11" spans="1:15" x14ac:dyDescent="0.2">
      <c r="A11" s="7" t="s">
        <v>51</v>
      </c>
      <c r="B11" s="4">
        <v>21095.94</v>
      </c>
      <c r="D11" s="7" t="s">
        <v>82</v>
      </c>
      <c r="E11" s="3">
        <v>8</v>
      </c>
      <c r="G11" s="7" t="s">
        <v>82</v>
      </c>
      <c r="H11" s="3">
        <v>8</v>
      </c>
      <c r="I11" s="4">
        <v>10.3</v>
      </c>
      <c r="K11" s="7">
        <v>9</v>
      </c>
      <c r="L11" s="8">
        <v>4</v>
      </c>
      <c r="M11" s="8">
        <v>10</v>
      </c>
      <c r="N11" s="8">
        <v>29709.9</v>
      </c>
      <c r="O11" s="8">
        <v>27993.46</v>
      </c>
    </row>
    <row r="12" spans="1:15" x14ac:dyDescent="0.2">
      <c r="A12" s="7" t="s">
        <v>57</v>
      </c>
      <c r="B12" s="4">
        <v>9969.2000000000007</v>
      </c>
      <c r="D12" s="7" t="s">
        <v>86</v>
      </c>
      <c r="E12" s="3">
        <v>7</v>
      </c>
      <c r="G12" s="7" t="s">
        <v>86</v>
      </c>
      <c r="H12" s="3">
        <v>7</v>
      </c>
      <c r="I12" s="4">
        <v>15.16</v>
      </c>
      <c r="K12" s="7">
        <v>19</v>
      </c>
      <c r="L12" s="8">
        <v>5</v>
      </c>
      <c r="M12" s="8">
        <v>12</v>
      </c>
      <c r="N12" s="8">
        <v>22142.880000000001</v>
      </c>
      <c r="O12" s="8">
        <v>21308.13</v>
      </c>
    </row>
    <row r="13" spans="1:15" x14ac:dyDescent="0.2">
      <c r="A13" s="7" t="s">
        <v>73</v>
      </c>
      <c r="B13" s="4">
        <v>5211.4799999999996</v>
      </c>
      <c r="D13" s="7" t="s">
        <v>101</v>
      </c>
      <c r="E13" s="3">
        <v>7</v>
      </c>
      <c r="G13" s="7" t="s">
        <v>101</v>
      </c>
      <c r="H13" s="3">
        <v>7</v>
      </c>
      <c r="I13" s="4">
        <v>74127.83</v>
      </c>
      <c r="K13" s="7">
        <v>1</v>
      </c>
      <c r="L13" s="8">
        <v>4</v>
      </c>
      <c r="M13" s="8">
        <v>12</v>
      </c>
      <c r="N13" s="8">
        <v>13037.88</v>
      </c>
      <c r="O13" s="8">
        <v>11510.81</v>
      </c>
    </row>
    <row r="14" spans="1:15" x14ac:dyDescent="0.2">
      <c r="A14" s="7" t="s">
        <v>143</v>
      </c>
      <c r="B14" s="4">
        <v>621346.15</v>
      </c>
      <c r="D14" s="7" t="s">
        <v>70</v>
      </c>
      <c r="E14" s="3">
        <v>7</v>
      </c>
      <c r="G14" s="7" t="s">
        <v>70</v>
      </c>
      <c r="H14" s="3">
        <v>7</v>
      </c>
      <c r="I14" s="4">
        <v>603.47</v>
      </c>
      <c r="K14" s="7">
        <v>21</v>
      </c>
      <c r="L14" s="8">
        <v>3</v>
      </c>
      <c r="M14" s="8">
        <v>6</v>
      </c>
      <c r="N14" s="8">
        <v>12939.94</v>
      </c>
      <c r="O14" s="8">
        <v>10966.03</v>
      </c>
    </row>
    <row r="15" spans="1:15" x14ac:dyDescent="0.2">
      <c r="D15" s="7" t="s">
        <v>32</v>
      </c>
      <c r="E15" s="3">
        <v>7</v>
      </c>
      <c r="G15" s="7" t="s">
        <v>32</v>
      </c>
      <c r="H15" s="3">
        <v>7</v>
      </c>
      <c r="I15" s="4">
        <v>537.20000000000005</v>
      </c>
      <c r="K15" s="7">
        <v>8</v>
      </c>
      <c r="L15" s="8">
        <v>6</v>
      </c>
      <c r="M15" s="8">
        <v>17</v>
      </c>
      <c r="N15" s="8">
        <v>6337.83</v>
      </c>
      <c r="O15" s="8">
        <v>5771.32</v>
      </c>
    </row>
    <row r="16" spans="1:15" ht="17" thickBot="1" x14ac:dyDescent="0.25">
      <c r="D16" s="7" t="s">
        <v>143</v>
      </c>
      <c r="E16" s="3">
        <v>109</v>
      </c>
      <c r="G16" s="7" t="s">
        <v>143</v>
      </c>
      <c r="H16" s="3">
        <v>109</v>
      </c>
      <c r="I16" s="4">
        <v>178751.6</v>
      </c>
      <c r="K16" s="7">
        <v>28</v>
      </c>
      <c r="L16" s="8">
        <v>6</v>
      </c>
      <c r="M16" s="8">
        <v>23</v>
      </c>
      <c r="N16" s="8">
        <v>5944.77</v>
      </c>
      <c r="O16" s="8">
        <v>5531.37</v>
      </c>
    </row>
    <row r="17" spans="1:15" ht="17" thickBot="1" x14ac:dyDescent="0.25">
      <c r="A17" s="37" t="s">
        <v>159</v>
      </c>
      <c r="B17" s="37" t="s">
        <v>162</v>
      </c>
      <c r="K17" s="7">
        <v>17</v>
      </c>
      <c r="L17" s="8">
        <v>4</v>
      </c>
      <c r="M17" s="8">
        <v>16</v>
      </c>
      <c r="N17" s="8">
        <v>5531.34</v>
      </c>
      <c r="O17" s="8">
        <v>5014.9399999999996</v>
      </c>
    </row>
    <row r="18" spans="1:15" x14ac:dyDescent="0.2">
      <c r="A18" t="str" cm="1">
        <f t="array" ref="A18:A105">_xlfn.UNIQUE('Clean Data'!D2:D1000)</f>
        <v>Blue Frock</v>
      </c>
      <c r="B18" cm="1">
        <f t="array" ref="B18:B48">_xlfn.UNIQUE('Clean Data'!A2:A1000)</f>
        <v>1</v>
      </c>
      <c r="K18" s="7">
        <v>20</v>
      </c>
      <c r="L18" s="8">
        <v>4</v>
      </c>
      <c r="M18" s="8">
        <v>12</v>
      </c>
      <c r="N18" s="8">
        <v>4711.88</v>
      </c>
      <c r="O18" s="8">
        <v>4251.41</v>
      </c>
    </row>
    <row r="19" spans="1:15" x14ac:dyDescent="0.2">
      <c r="A19" t="str">
        <v>Generic Motorcycle</v>
      </c>
      <c r="B19">
        <v>2</v>
      </c>
      <c r="K19" s="7">
        <v>23</v>
      </c>
      <c r="L19" s="8">
        <v>2</v>
      </c>
      <c r="M19" s="8">
        <v>9</v>
      </c>
      <c r="N19" s="8">
        <v>2499.91</v>
      </c>
      <c r="O19" s="8">
        <v>2123.87</v>
      </c>
    </row>
    <row r="20" spans="1:15" x14ac:dyDescent="0.2">
      <c r="A20" t="str">
        <v>iPhone 6</v>
      </c>
      <c r="B20">
        <v>3</v>
      </c>
      <c r="K20" s="7">
        <v>29</v>
      </c>
      <c r="L20" s="8">
        <v>4</v>
      </c>
      <c r="M20" s="8">
        <v>16</v>
      </c>
      <c r="N20" s="8">
        <v>2359.84</v>
      </c>
      <c r="O20" s="8">
        <v>2077.88</v>
      </c>
    </row>
    <row r="21" spans="1:15" x14ac:dyDescent="0.2">
      <c r="A21" t="str">
        <v>Baseball Ball</v>
      </c>
      <c r="B21">
        <v>4</v>
      </c>
      <c r="K21" s="7">
        <v>3</v>
      </c>
      <c r="L21" s="8">
        <v>6</v>
      </c>
      <c r="M21" s="8">
        <v>15</v>
      </c>
      <c r="N21" s="8">
        <v>1794.85</v>
      </c>
      <c r="O21" s="8">
        <v>1625.77</v>
      </c>
    </row>
    <row r="22" spans="1:15" x14ac:dyDescent="0.2">
      <c r="A22" t="str">
        <v>Man Short Sleeve Shirt</v>
      </c>
      <c r="B22">
        <v>5</v>
      </c>
      <c r="K22" s="7">
        <v>5</v>
      </c>
      <c r="L22" s="8">
        <v>3</v>
      </c>
      <c r="M22" s="8">
        <v>12</v>
      </c>
      <c r="N22" s="8">
        <v>1467.88</v>
      </c>
      <c r="O22" s="8">
        <v>1205.8</v>
      </c>
    </row>
    <row r="23" spans="1:15" x14ac:dyDescent="0.2">
      <c r="A23" t="str">
        <v>Apple iPhone Charger</v>
      </c>
      <c r="B23">
        <v>6</v>
      </c>
      <c r="K23" s="7">
        <v>7</v>
      </c>
      <c r="L23" s="8">
        <v>6</v>
      </c>
      <c r="M23" s="8">
        <v>14</v>
      </c>
      <c r="N23" s="8">
        <v>1229.8599999999999</v>
      </c>
      <c r="O23" s="8">
        <v>1103.6500000000001</v>
      </c>
    </row>
    <row r="24" spans="1:15" x14ac:dyDescent="0.2">
      <c r="A24" t="str">
        <v>Fish Steak</v>
      </c>
      <c r="B24">
        <v>7</v>
      </c>
      <c r="K24" s="7">
        <v>25</v>
      </c>
      <c r="L24" s="8">
        <v>5</v>
      </c>
      <c r="M24" s="8">
        <v>15</v>
      </c>
      <c r="N24" s="8">
        <v>1228.3499999999999</v>
      </c>
      <c r="O24" s="8">
        <v>1070.83</v>
      </c>
    </row>
    <row r="25" spans="1:15" x14ac:dyDescent="0.2">
      <c r="A25" t="str">
        <v>iPhone 13 Pro</v>
      </c>
      <c r="B25">
        <v>8</v>
      </c>
      <c r="K25" s="7">
        <v>26</v>
      </c>
      <c r="L25" s="8">
        <v>4</v>
      </c>
      <c r="M25" s="8">
        <v>16</v>
      </c>
      <c r="N25" s="8">
        <v>1111.8399999999999</v>
      </c>
      <c r="O25" s="8">
        <v>1021.64</v>
      </c>
    </row>
    <row r="26" spans="1:15" x14ac:dyDescent="0.2">
      <c r="A26" t="str">
        <v>Realme X</v>
      </c>
      <c r="B26">
        <v>9</v>
      </c>
      <c r="K26" s="7">
        <v>4</v>
      </c>
      <c r="L26" s="8">
        <v>2</v>
      </c>
      <c r="M26" s="8">
        <v>7</v>
      </c>
      <c r="N26" s="8">
        <v>689.93</v>
      </c>
      <c r="O26" s="8">
        <v>636.80999999999995</v>
      </c>
    </row>
    <row r="27" spans="1:15" x14ac:dyDescent="0.2">
      <c r="A27" t="str">
        <v>Dior J'adore</v>
      </c>
      <c r="B27">
        <v>10</v>
      </c>
      <c r="K27" s="7">
        <v>16</v>
      </c>
      <c r="L27" s="8">
        <v>2</v>
      </c>
      <c r="M27" s="8">
        <v>8</v>
      </c>
      <c r="N27" s="8">
        <v>384.92</v>
      </c>
      <c r="O27" s="8">
        <v>364.7</v>
      </c>
    </row>
    <row r="28" spans="1:15" x14ac:dyDescent="0.2">
      <c r="A28" t="str">
        <v>Party Glasses</v>
      </c>
      <c r="B28">
        <v>11</v>
      </c>
      <c r="K28" s="7">
        <v>22</v>
      </c>
      <c r="L28" s="8">
        <v>3</v>
      </c>
      <c r="M28" s="8">
        <v>8</v>
      </c>
      <c r="N28" s="8">
        <v>307.92</v>
      </c>
      <c r="O28" s="8">
        <v>296.47000000000003</v>
      </c>
    </row>
    <row r="29" spans="1:15" x14ac:dyDescent="0.2">
      <c r="A29" t="str">
        <v>Sports Sneakers Off White Red</v>
      </c>
      <c r="B29">
        <v>12</v>
      </c>
      <c r="K29" s="7">
        <v>15</v>
      </c>
      <c r="L29" s="8">
        <v>3</v>
      </c>
      <c r="M29" s="8">
        <v>5</v>
      </c>
      <c r="N29" s="8">
        <v>249.95</v>
      </c>
      <c r="O29" s="8">
        <v>214.68</v>
      </c>
    </row>
    <row r="30" spans="1:15" x14ac:dyDescent="0.2">
      <c r="A30" t="str">
        <v>Samsung Galaxy Tab White</v>
      </c>
      <c r="B30">
        <v>13</v>
      </c>
      <c r="K30" s="7">
        <v>14</v>
      </c>
      <c r="L30" s="8">
        <v>3</v>
      </c>
      <c r="M30" s="8">
        <v>10</v>
      </c>
      <c r="N30" s="8">
        <v>209.9</v>
      </c>
      <c r="O30" s="8">
        <v>184.59</v>
      </c>
    </row>
    <row r="31" spans="1:15" x14ac:dyDescent="0.2">
      <c r="A31" t="str">
        <v>Soft Drinks</v>
      </c>
      <c r="B31">
        <v>14</v>
      </c>
      <c r="K31" s="7">
        <v>10</v>
      </c>
      <c r="L31" s="8">
        <v>2</v>
      </c>
      <c r="M31" s="8">
        <v>6</v>
      </c>
      <c r="N31" s="8">
        <v>152.44</v>
      </c>
      <c r="O31" s="8">
        <v>131.34</v>
      </c>
    </row>
    <row r="32" spans="1:15" x14ac:dyDescent="0.2">
      <c r="A32" t="str">
        <v>Powder Canister</v>
      </c>
      <c r="B32">
        <v>15</v>
      </c>
      <c r="K32" s="7">
        <v>2</v>
      </c>
      <c r="L32" s="8">
        <v>2</v>
      </c>
      <c r="M32" s="8">
        <v>7</v>
      </c>
      <c r="N32" s="8">
        <v>139.93</v>
      </c>
      <c r="O32" s="8">
        <v>125.7</v>
      </c>
    </row>
    <row r="33" spans="1:15" x14ac:dyDescent="0.2">
      <c r="A33" t="str">
        <v>Rolex Datejust Women</v>
      </c>
      <c r="B33">
        <v>16</v>
      </c>
      <c r="K33" s="7">
        <v>13</v>
      </c>
      <c r="L33" s="8">
        <v>2</v>
      </c>
      <c r="M33" s="8">
        <v>6</v>
      </c>
      <c r="N33" s="8">
        <v>16.54</v>
      </c>
      <c r="O33" s="8">
        <v>14.97</v>
      </c>
    </row>
    <row r="34" spans="1:15" x14ac:dyDescent="0.2">
      <c r="A34" t="str">
        <v>Realme XT</v>
      </c>
      <c r="B34">
        <v>17</v>
      </c>
      <c r="K34" s="7" t="s">
        <v>143</v>
      </c>
      <c r="L34" s="8">
        <v>114</v>
      </c>
      <c r="M34" s="8">
        <v>355</v>
      </c>
      <c r="N34" s="8">
        <v>725678.95</v>
      </c>
      <c r="O34" s="8">
        <v>651758.23</v>
      </c>
    </row>
    <row r="35" spans="1:15" x14ac:dyDescent="0.2">
      <c r="A35" t="str">
        <v>Classic Sun Glasses</v>
      </c>
      <c r="B35">
        <v>18</v>
      </c>
    </row>
    <row r="36" spans="1:15" x14ac:dyDescent="0.2">
      <c r="A36" t="str">
        <v>Water</v>
      </c>
      <c r="B36">
        <v>19</v>
      </c>
    </row>
    <row r="37" spans="1:15" x14ac:dyDescent="0.2">
      <c r="A37" t="str">
        <v>Electric Stove</v>
      </c>
      <c r="B37">
        <v>20</v>
      </c>
    </row>
    <row r="38" spans="1:15" x14ac:dyDescent="0.2">
      <c r="A38" t="str">
        <v>Vivo X21</v>
      </c>
      <c r="B38">
        <v>21</v>
      </c>
    </row>
    <row r="39" spans="1:15" x14ac:dyDescent="0.2">
      <c r="A39" t="str">
        <v>Dolce Shine Eau de</v>
      </c>
      <c r="B39">
        <v>22</v>
      </c>
    </row>
    <row r="40" spans="1:15" x14ac:dyDescent="0.2">
      <c r="A40" t="str">
        <v>Vaseline Men Body and Face Lotion</v>
      </c>
      <c r="B40">
        <v>23</v>
      </c>
    </row>
    <row r="41" spans="1:15" x14ac:dyDescent="0.2">
      <c r="A41" t="str">
        <v>Puma Future Rider Trainers</v>
      </c>
      <c r="B41">
        <v>24</v>
      </c>
    </row>
    <row r="42" spans="1:15" x14ac:dyDescent="0.2">
      <c r="A42" t="str">
        <v>Cat Food</v>
      </c>
      <c r="B42">
        <v>25</v>
      </c>
    </row>
    <row r="43" spans="1:15" x14ac:dyDescent="0.2">
      <c r="A43" t="str">
        <v>Black Whisk</v>
      </c>
      <c r="B43">
        <v>26</v>
      </c>
    </row>
    <row r="44" spans="1:15" x14ac:dyDescent="0.2">
      <c r="A44" t="str">
        <v>Annibale Colombo Bed</v>
      </c>
      <c r="B44">
        <v>27</v>
      </c>
    </row>
    <row r="45" spans="1:15" x14ac:dyDescent="0.2">
      <c r="A45" t="str">
        <v>iPhone 12 Silicone Case with MagSafe Plum</v>
      </c>
      <c r="B45">
        <v>28</v>
      </c>
    </row>
    <row r="46" spans="1:15" x14ac:dyDescent="0.2">
      <c r="A46" t="str">
        <v>Apple Watch Series 4 Gold</v>
      </c>
      <c r="B46">
        <v>29</v>
      </c>
    </row>
    <row r="47" spans="1:15" x14ac:dyDescent="0.2">
      <c r="A47" t="str">
        <v>Essence Mascara Lash Princess</v>
      </c>
      <c r="B47">
        <v>30</v>
      </c>
    </row>
    <row r="48" spans="1:15" x14ac:dyDescent="0.2">
      <c r="A48" t="str">
        <v>Rolex Submariner Watch</v>
      </c>
      <c r="B48">
        <v>0</v>
      </c>
    </row>
    <row r="49" spans="1:1" x14ac:dyDescent="0.2">
      <c r="A49" t="str">
        <v>Samsung Galaxy S8</v>
      </c>
    </row>
    <row r="50" spans="1:1" x14ac:dyDescent="0.2">
      <c r="A50" t="str">
        <v>Tissue Paper Box</v>
      </c>
    </row>
    <row r="51" spans="1:1" x14ac:dyDescent="0.2">
      <c r="A51" t="str">
        <v>MotoGP CI.H1</v>
      </c>
    </row>
    <row r="52" spans="1:1" x14ac:dyDescent="0.2">
      <c r="A52" t="str">
        <v>Apple AirPods Max Silver</v>
      </c>
    </row>
    <row r="53" spans="1:1" x14ac:dyDescent="0.2">
      <c r="A53" t="str">
        <v>Egg Slicer</v>
      </c>
    </row>
    <row r="54" spans="1:1" x14ac:dyDescent="0.2">
      <c r="A54" t="str">
        <v>Green Bell Pepper</v>
      </c>
    </row>
    <row r="55" spans="1:1" x14ac:dyDescent="0.2">
      <c r="A55" t="str">
        <v>Sportbike Motorcycle</v>
      </c>
    </row>
    <row r="56" spans="1:1" x14ac:dyDescent="0.2">
      <c r="A56" t="str">
        <v>Ice Cream</v>
      </c>
    </row>
    <row r="57" spans="1:1" x14ac:dyDescent="0.2">
      <c r="A57" t="str">
        <v>Knoll Saarinen Executive Conference Chair</v>
      </c>
    </row>
    <row r="58" spans="1:1" x14ac:dyDescent="0.2">
      <c r="A58" t="str">
        <v>Potatoes</v>
      </c>
    </row>
    <row r="59" spans="1:1" x14ac:dyDescent="0.2">
      <c r="A59" t="str">
        <v>Eggs</v>
      </c>
    </row>
    <row r="60" spans="1:1" x14ac:dyDescent="0.2">
      <c r="A60" t="str">
        <v>Family Tree Photo Frame</v>
      </c>
    </row>
    <row r="61" spans="1:1" x14ac:dyDescent="0.2">
      <c r="A61" t="str">
        <v>Pan</v>
      </c>
    </row>
    <row r="62" spans="1:1" x14ac:dyDescent="0.2">
      <c r="A62" t="str">
        <v>Lunch Box</v>
      </c>
    </row>
    <row r="63" spans="1:1" x14ac:dyDescent="0.2">
      <c r="A63" t="str">
        <v>Hand Blender</v>
      </c>
    </row>
    <row r="64" spans="1:1" x14ac:dyDescent="0.2">
      <c r="A64" t="str">
        <v>Apple MagSafe Battery Pack</v>
      </c>
    </row>
    <row r="65" spans="1:1" x14ac:dyDescent="0.2">
      <c r="A65" t="str">
        <v>Basketball Rim</v>
      </c>
    </row>
    <row r="66" spans="1:1" x14ac:dyDescent="0.2">
      <c r="A66" t="str">
        <v>Cooking Oil</v>
      </c>
    </row>
    <row r="67" spans="1:1" x14ac:dyDescent="0.2">
      <c r="A67" t="str">
        <v>Sports Sneakers Off White &amp; Red</v>
      </c>
    </row>
    <row r="68" spans="1:1" x14ac:dyDescent="0.2">
      <c r="A68" t="str">
        <v>American Football</v>
      </c>
    </row>
    <row r="69" spans="1:1" x14ac:dyDescent="0.2">
      <c r="A69" t="str">
        <v>Green Chili Pepper</v>
      </c>
    </row>
    <row r="70" spans="1:1" x14ac:dyDescent="0.2">
      <c r="A70" t="str">
        <v>Dodge Hornet GT Plus</v>
      </c>
    </row>
    <row r="71" spans="1:1" x14ac:dyDescent="0.2">
      <c r="A71" t="str">
        <v>Watch Gold for Women</v>
      </c>
    </row>
    <row r="72" spans="1:1" x14ac:dyDescent="0.2">
      <c r="A72" t="str">
        <v>Dog Food</v>
      </c>
    </row>
    <row r="73" spans="1:1" x14ac:dyDescent="0.2">
      <c r="A73" t="str">
        <v>Rolex Datejust</v>
      </c>
    </row>
    <row r="74" spans="1:1" x14ac:dyDescent="0.2">
      <c r="A74" t="str">
        <v>Silver Pot With Glass Cap</v>
      </c>
    </row>
    <row r="75" spans="1:1" x14ac:dyDescent="0.2">
      <c r="A75" t="str">
        <v>Plate</v>
      </c>
    </row>
    <row r="76" spans="1:1" x14ac:dyDescent="0.2">
      <c r="A76" t="str">
        <v>Protein Powder</v>
      </c>
    </row>
    <row r="77" spans="1:1" x14ac:dyDescent="0.2">
      <c r="A77" t="str">
        <v>Feather Shuttlecock</v>
      </c>
    </row>
    <row r="78" spans="1:1" x14ac:dyDescent="0.2">
      <c r="A78" t="str">
        <v>Nike Baseball Cleats</v>
      </c>
    </row>
    <row r="79" spans="1:1" x14ac:dyDescent="0.2">
      <c r="A79" t="str">
        <v>Asus Zenbook Pro Dual Screen Laptop</v>
      </c>
    </row>
    <row r="80" spans="1:1" x14ac:dyDescent="0.2">
      <c r="A80" t="str">
        <v>Gray Dress</v>
      </c>
    </row>
    <row r="81" spans="1:1" x14ac:dyDescent="0.2">
      <c r="A81" t="str">
        <v>Apple</v>
      </c>
    </row>
    <row r="82" spans="1:1" x14ac:dyDescent="0.2">
      <c r="A82" t="str">
        <v>Tartan Dress</v>
      </c>
    </row>
    <row r="83" spans="1:1" x14ac:dyDescent="0.2">
      <c r="A83" t="str">
        <v>Oppo K1</v>
      </c>
    </row>
    <row r="84" spans="1:1" x14ac:dyDescent="0.2">
      <c r="A84" t="str">
        <v>Vivo S1</v>
      </c>
    </row>
    <row r="85" spans="1:1" x14ac:dyDescent="0.2">
      <c r="A85" t="str">
        <v>Realme C35</v>
      </c>
    </row>
    <row r="86" spans="1:1" x14ac:dyDescent="0.2">
      <c r="A86" t="str">
        <v>Milk</v>
      </c>
    </row>
    <row r="87" spans="1:1" x14ac:dyDescent="0.2">
      <c r="A87" t="str">
        <v>Selfie Lamp with iPhone</v>
      </c>
    </row>
    <row r="88" spans="1:1" x14ac:dyDescent="0.2">
      <c r="A88" t="str">
        <v>Apple HomePod Mini Cosmic Grey</v>
      </c>
    </row>
    <row r="89" spans="1:1" x14ac:dyDescent="0.2">
      <c r="A89" t="str">
        <v>Kitchen Sieve</v>
      </c>
    </row>
    <row r="90" spans="1:1" x14ac:dyDescent="0.2">
      <c r="A90" t="str">
        <v>Volleyball</v>
      </c>
    </row>
    <row r="91" spans="1:1" x14ac:dyDescent="0.2">
      <c r="A91" t="str">
        <v>Green Crystal Earring</v>
      </c>
    </row>
    <row r="92" spans="1:1" x14ac:dyDescent="0.2">
      <c r="A92" t="str">
        <v>Knife</v>
      </c>
    </row>
    <row r="93" spans="1:1" x14ac:dyDescent="0.2">
      <c r="A93" t="str">
        <v>Plant Pot</v>
      </c>
    </row>
    <row r="94" spans="1:1" x14ac:dyDescent="0.2">
      <c r="A94" t="str">
        <v>Black &amp; Brown Slipper</v>
      </c>
    </row>
    <row r="95" spans="1:1" x14ac:dyDescent="0.2">
      <c r="A95" t="str">
        <v>White Faux Leather Backpack</v>
      </c>
    </row>
    <row r="96" spans="1:1" x14ac:dyDescent="0.2">
      <c r="A96" t="str">
        <v>Lenovo Yoga 920</v>
      </c>
    </row>
    <row r="97" spans="1:1" x14ac:dyDescent="0.2">
      <c r="A97" t="str">
        <v>Prada Women Bag</v>
      </c>
    </row>
    <row r="98" spans="1:1" x14ac:dyDescent="0.2">
      <c r="A98" t="str">
        <v>Apple Airpower Wireless Charger</v>
      </c>
    </row>
    <row r="99" spans="1:1" x14ac:dyDescent="0.2">
      <c r="A99" t="str">
        <v>Bamboo Spatula</v>
      </c>
    </row>
    <row r="100" spans="1:1" x14ac:dyDescent="0.2">
      <c r="A100" t="str">
        <v>Cricket Bat</v>
      </c>
    </row>
    <row r="101" spans="1:1" x14ac:dyDescent="0.2">
      <c r="A101" t="str">
        <v>Vivo V9</v>
      </c>
    </row>
    <row r="102" spans="1:1" x14ac:dyDescent="0.2">
      <c r="A102" t="str">
        <v>Oppo F19 Pro Plus</v>
      </c>
    </row>
    <row r="103" spans="1:1" x14ac:dyDescent="0.2">
      <c r="A103" t="str">
        <v>Yellow Peeler</v>
      </c>
    </row>
    <row r="104" spans="1:1" x14ac:dyDescent="0.2">
      <c r="A104" t="str">
        <v>Durango SXT RWD</v>
      </c>
    </row>
    <row r="105" spans="1:1" x14ac:dyDescent="0.2">
      <c r="A105">
        <v>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0BCA-1643-3743-97CB-7BD7A314F71D}">
  <sheetPr codeName="Sheet3"/>
  <dimension ref="A1:E8"/>
  <sheetViews>
    <sheetView workbookViewId="0">
      <selection activeCell="G2" sqref="G2"/>
    </sheetView>
  </sheetViews>
  <sheetFormatPr baseColWidth="10" defaultRowHeight="16" x14ac:dyDescent="0.2"/>
  <cols>
    <col min="1" max="1" width="20.1640625" bestFit="1" customWidth="1"/>
    <col min="2" max="2" width="11.1640625" bestFit="1" customWidth="1"/>
    <col min="4" max="4" width="15.1640625" bestFit="1" customWidth="1"/>
    <col min="5" max="5" width="11.1640625" bestFit="1" customWidth="1"/>
  </cols>
  <sheetData>
    <row r="1" spans="1:5" x14ac:dyDescent="0.2">
      <c r="A1" t="s">
        <v>133</v>
      </c>
      <c r="B1" t="s">
        <v>134</v>
      </c>
      <c r="D1" t="s">
        <v>154</v>
      </c>
      <c r="E1" t="s">
        <v>155</v>
      </c>
    </row>
    <row r="2" spans="1:5" x14ac:dyDescent="0.2">
      <c r="A2" t="s">
        <v>135</v>
      </c>
      <c r="B2" s="3">
        <f>COUNTA('Raw Data'!K2:K1000)</f>
        <v>30</v>
      </c>
      <c r="D2" t="s">
        <v>137</v>
      </c>
      <c r="E2" s="4">
        <f>B4</f>
        <v>725678.94999999856</v>
      </c>
    </row>
    <row r="3" spans="1:5" x14ac:dyDescent="0.2">
      <c r="A3" t="s">
        <v>136</v>
      </c>
      <c r="B3" s="3">
        <f>SUM('Clean Data'!E2:E1000)</f>
        <v>355</v>
      </c>
      <c r="D3" t="s">
        <v>138</v>
      </c>
      <c r="E3" s="4">
        <f>B5</f>
        <v>651758.23</v>
      </c>
    </row>
    <row r="4" spans="1:5" x14ac:dyDescent="0.2">
      <c r="A4" t="s">
        <v>137</v>
      </c>
      <c r="B4" s="4">
        <f>SUM('Clean Data'!I2:I1000)</f>
        <v>725678.94999999856</v>
      </c>
    </row>
    <row r="5" spans="1:5" x14ac:dyDescent="0.2">
      <c r="A5" t="s">
        <v>138</v>
      </c>
      <c r="B5" s="4">
        <f>SUM('Clean Data'!J2:J1000)</f>
        <v>651758.23</v>
      </c>
    </row>
    <row r="6" spans="1:5" x14ac:dyDescent="0.2">
      <c r="A6" t="s">
        <v>139</v>
      </c>
      <c r="B6" s="4">
        <f>B4-B5</f>
        <v>73920.719999998575</v>
      </c>
    </row>
    <row r="7" spans="1:5" x14ac:dyDescent="0.2">
      <c r="A7" t="s">
        <v>140</v>
      </c>
      <c r="B7" s="4">
        <f>B5/B2</f>
        <v>21725.274333333331</v>
      </c>
    </row>
    <row r="8" spans="1:5" x14ac:dyDescent="0.2">
      <c r="A8" t="s">
        <v>141</v>
      </c>
      <c r="B8" s="5">
        <f>B3/B2</f>
        <v>11.833333333333334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2C3F-A143-9845-8A54-9F2040390607}">
  <sheetPr codeName="Sheet2"/>
  <dimension ref="A1:J115"/>
  <sheetViews>
    <sheetView workbookViewId="0">
      <selection activeCell="D2" sqref="D2"/>
    </sheetView>
  </sheetViews>
  <sheetFormatPr baseColWidth="10" defaultRowHeight="16" x14ac:dyDescent="0.2"/>
  <cols>
    <col min="1" max="1" width="12" bestFit="1" customWidth="1"/>
    <col min="2" max="2" width="12.1640625" bestFit="1" customWidth="1"/>
    <col min="3" max="3" width="14.83203125" bestFit="1" customWidth="1"/>
    <col min="4" max="4" width="36.33203125" bestFit="1" customWidth="1"/>
    <col min="5" max="5" width="13.1640625" bestFit="1" customWidth="1"/>
    <col min="6" max="6" width="10.5" bestFit="1" customWidth="1"/>
    <col min="7" max="7" width="15.5" bestFit="1" customWidth="1"/>
    <col min="8" max="8" width="20.33203125" bestFit="1" customWidth="1"/>
    <col min="9" max="9" width="11.1640625" bestFit="1" customWidth="1"/>
    <col min="10" max="10" width="20" bestFit="1" customWidth="1"/>
  </cols>
  <sheetData>
    <row r="1" spans="1:10" x14ac:dyDescent="0.2">
      <c r="A1" s="2" t="s">
        <v>41</v>
      </c>
      <c r="B1" s="2" t="s">
        <v>42</v>
      </c>
      <c r="C1" s="2" t="s">
        <v>0</v>
      </c>
      <c r="D1" s="2" t="s">
        <v>1</v>
      </c>
      <c r="E1" s="2" t="s">
        <v>47</v>
      </c>
      <c r="F1" s="2" t="s">
        <v>3</v>
      </c>
      <c r="G1" s="2" t="s">
        <v>4</v>
      </c>
      <c r="H1" s="2" t="s">
        <v>48</v>
      </c>
      <c r="I1" s="2" t="s">
        <v>49</v>
      </c>
      <c r="J1" s="2" t="s">
        <v>46</v>
      </c>
    </row>
    <row r="2" spans="1:10" x14ac:dyDescent="0.2">
      <c r="A2" s="3">
        <v>1</v>
      </c>
      <c r="B2" s="3">
        <v>1</v>
      </c>
      <c r="C2" s="3">
        <v>162</v>
      </c>
      <c r="D2" t="s">
        <v>50</v>
      </c>
      <c r="E2" s="3">
        <v>4</v>
      </c>
      <c r="F2" s="4">
        <v>29.99</v>
      </c>
      <c r="G2" s="5">
        <v>12.13</v>
      </c>
      <c r="H2" s="4">
        <v>26.352212999999999</v>
      </c>
      <c r="I2" s="4">
        <v>119.96</v>
      </c>
      <c r="J2" s="4">
        <v>105.41</v>
      </c>
    </row>
    <row r="3" spans="1:10" x14ac:dyDescent="0.2">
      <c r="A3" s="3">
        <v>1</v>
      </c>
      <c r="B3" s="3">
        <v>1</v>
      </c>
      <c r="C3" s="3">
        <v>113</v>
      </c>
      <c r="D3" t="s">
        <v>51</v>
      </c>
      <c r="E3" s="3">
        <v>3</v>
      </c>
      <c r="F3" s="4">
        <v>3999.99</v>
      </c>
      <c r="G3" s="5">
        <v>12.1</v>
      </c>
      <c r="H3" s="4">
        <v>3515.9912099999997</v>
      </c>
      <c r="I3" s="4">
        <v>11999.97</v>
      </c>
      <c r="J3" s="4">
        <v>10547.97</v>
      </c>
    </row>
    <row r="4" spans="1:10" x14ac:dyDescent="0.2">
      <c r="A4" s="3">
        <v>1</v>
      </c>
      <c r="B4" s="3">
        <v>1</v>
      </c>
      <c r="C4" s="3">
        <v>122</v>
      </c>
      <c r="D4" t="s">
        <v>52</v>
      </c>
      <c r="E4" s="3">
        <v>3</v>
      </c>
      <c r="F4" s="4">
        <v>299.99</v>
      </c>
      <c r="G4" s="5">
        <v>6.69</v>
      </c>
      <c r="H4" s="4">
        <v>279.92066900000003</v>
      </c>
      <c r="I4" s="4">
        <v>899.97</v>
      </c>
      <c r="J4" s="4">
        <v>839.76</v>
      </c>
    </row>
    <row r="5" spans="1:10" x14ac:dyDescent="0.2">
      <c r="A5" s="3">
        <v>1</v>
      </c>
      <c r="B5" s="3">
        <v>1</v>
      </c>
      <c r="C5" s="3">
        <v>138</v>
      </c>
      <c r="D5" t="s">
        <v>53</v>
      </c>
      <c r="E5" s="3">
        <v>2</v>
      </c>
      <c r="F5" s="4">
        <v>8.99</v>
      </c>
      <c r="G5" s="5">
        <v>1.71</v>
      </c>
      <c r="H5" s="4">
        <v>8.836271</v>
      </c>
      <c r="I5" s="4">
        <v>17.98</v>
      </c>
      <c r="J5" s="4">
        <v>17.670000000000002</v>
      </c>
    </row>
    <row r="6" spans="1:10" x14ac:dyDescent="0.2">
      <c r="A6" s="3">
        <v>2</v>
      </c>
      <c r="B6" s="3">
        <v>2</v>
      </c>
      <c r="C6" s="3">
        <v>86</v>
      </c>
      <c r="D6" t="s">
        <v>54</v>
      </c>
      <c r="E6" s="3">
        <v>5</v>
      </c>
      <c r="F6" s="4">
        <v>19.989999999999998</v>
      </c>
      <c r="G6" s="5">
        <v>6.83</v>
      </c>
      <c r="H6" s="4">
        <v>18.624682999999997</v>
      </c>
      <c r="I6" s="4">
        <v>99.949999999999903</v>
      </c>
      <c r="J6" s="4">
        <v>93.12</v>
      </c>
    </row>
    <row r="7" spans="1:10" x14ac:dyDescent="0.2">
      <c r="A7" s="3">
        <v>2</v>
      </c>
      <c r="B7" s="3">
        <v>2</v>
      </c>
      <c r="C7" s="3">
        <v>104</v>
      </c>
      <c r="D7" t="s">
        <v>55</v>
      </c>
      <c r="E7" s="3">
        <v>2</v>
      </c>
      <c r="F7" s="4">
        <v>19.989999999999998</v>
      </c>
      <c r="G7" s="5">
        <v>18.52</v>
      </c>
      <c r="H7" s="4">
        <v>16.287851999999997</v>
      </c>
      <c r="I7" s="4">
        <v>39.979999999999997</v>
      </c>
      <c r="J7" s="4">
        <v>32.58</v>
      </c>
    </row>
    <row r="8" spans="1:10" x14ac:dyDescent="0.2">
      <c r="A8" s="3">
        <v>3</v>
      </c>
      <c r="B8" s="3">
        <v>3</v>
      </c>
      <c r="C8" s="3">
        <v>24</v>
      </c>
      <c r="D8" t="s">
        <v>56</v>
      </c>
      <c r="E8" s="3">
        <v>1</v>
      </c>
      <c r="F8" s="4">
        <v>14.99</v>
      </c>
      <c r="G8" s="5">
        <v>4.2300000000000004</v>
      </c>
      <c r="H8" s="4">
        <v>14.355923000000001</v>
      </c>
      <c r="I8" s="4">
        <v>14.99</v>
      </c>
      <c r="J8" s="4">
        <v>14.36</v>
      </c>
    </row>
    <row r="9" spans="1:10" x14ac:dyDescent="0.2">
      <c r="A9" s="3">
        <v>3</v>
      </c>
      <c r="B9" s="3">
        <v>3</v>
      </c>
      <c r="C9" s="3">
        <v>123</v>
      </c>
      <c r="D9" t="s">
        <v>57</v>
      </c>
      <c r="E9" s="3">
        <v>1</v>
      </c>
      <c r="F9" s="4">
        <v>1099.99</v>
      </c>
      <c r="G9" s="5">
        <v>9.3699999999999992</v>
      </c>
      <c r="H9" s="4">
        <v>996.92093699999998</v>
      </c>
      <c r="I9" s="4">
        <v>1099.99</v>
      </c>
      <c r="J9" s="4">
        <v>996.92</v>
      </c>
    </row>
    <row r="10" spans="1:10" x14ac:dyDescent="0.2">
      <c r="A10" s="3">
        <v>3</v>
      </c>
      <c r="B10" s="3">
        <v>3</v>
      </c>
      <c r="C10" s="3">
        <v>129</v>
      </c>
      <c r="D10" t="s">
        <v>58</v>
      </c>
      <c r="E10" s="3">
        <v>1</v>
      </c>
      <c r="F10" s="4">
        <v>299.99</v>
      </c>
      <c r="G10" s="5">
        <v>6.95</v>
      </c>
      <c r="H10" s="4">
        <v>279.14069499999999</v>
      </c>
      <c r="I10" s="4">
        <v>299.99</v>
      </c>
      <c r="J10" s="4">
        <v>279.14</v>
      </c>
    </row>
    <row r="11" spans="1:10" x14ac:dyDescent="0.2">
      <c r="A11" s="3">
        <v>3</v>
      </c>
      <c r="B11" s="3">
        <v>3</v>
      </c>
      <c r="C11" s="3">
        <v>86</v>
      </c>
      <c r="D11" t="s">
        <v>54</v>
      </c>
      <c r="E11" s="3">
        <v>5</v>
      </c>
      <c r="F11" s="4">
        <v>19.989999999999998</v>
      </c>
      <c r="G11" s="5">
        <v>6.83</v>
      </c>
      <c r="H11" s="4">
        <v>18.624682999999997</v>
      </c>
      <c r="I11" s="4">
        <v>99.949999999999903</v>
      </c>
      <c r="J11" s="4">
        <v>93.12</v>
      </c>
    </row>
    <row r="12" spans="1:10" x14ac:dyDescent="0.2">
      <c r="A12" s="3">
        <v>3</v>
      </c>
      <c r="B12" s="3">
        <v>3</v>
      </c>
      <c r="C12" s="3">
        <v>8</v>
      </c>
      <c r="D12" t="s">
        <v>32</v>
      </c>
      <c r="E12" s="3">
        <v>2</v>
      </c>
      <c r="F12" s="4">
        <v>89.99</v>
      </c>
      <c r="G12" s="5">
        <v>14.72</v>
      </c>
      <c r="H12" s="4">
        <v>76.743471999999997</v>
      </c>
      <c r="I12" s="4">
        <v>179.98</v>
      </c>
      <c r="J12" s="4">
        <v>153.49</v>
      </c>
    </row>
    <row r="13" spans="1:10" x14ac:dyDescent="0.2">
      <c r="A13" s="3">
        <v>3</v>
      </c>
      <c r="B13" s="3">
        <v>3</v>
      </c>
      <c r="C13" s="3">
        <v>157</v>
      </c>
      <c r="D13" t="s">
        <v>59</v>
      </c>
      <c r="E13" s="3">
        <v>5</v>
      </c>
      <c r="F13" s="4">
        <v>19.989999999999998</v>
      </c>
      <c r="G13" s="5">
        <v>11.22</v>
      </c>
      <c r="H13" s="4">
        <v>17.747122000000001</v>
      </c>
      <c r="I13" s="4">
        <v>99.949999999999903</v>
      </c>
      <c r="J13" s="4">
        <v>88.74</v>
      </c>
    </row>
    <row r="14" spans="1:10" x14ac:dyDescent="0.2">
      <c r="A14" s="3">
        <v>4</v>
      </c>
      <c r="B14" s="3">
        <v>4</v>
      </c>
      <c r="C14" s="3">
        <v>92</v>
      </c>
      <c r="D14" t="s">
        <v>60</v>
      </c>
      <c r="E14" s="3">
        <v>3</v>
      </c>
      <c r="F14" s="4">
        <v>109.99</v>
      </c>
      <c r="G14" s="5">
        <v>0.04</v>
      </c>
      <c r="H14" s="4">
        <v>109.946004</v>
      </c>
      <c r="I14" s="4">
        <v>329.969999999999</v>
      </c>
      <c r="J14" s="4">
        <v>329.84</v>
      </c>
    </row>
    <row r="15" spans="1:10" x14ac:dyDescent="0.2">
      <c r="A15" s="3">
        <v>4</v>
      </c>
      <c r="B15" s="3">
        <v>4</v>
      </c>
      <c r="C15" s="3">
        <v>8</v>
      </c>
      <c r="D15" t="s">
        <v>32</v>
      </c>
      <c r="E15" s="3">
        <v>4</v>
      </c>
      <c r="F15" s="4">
        <v>89.99</v>
      </c>
      <c r="G15" s="5">
        <v>14.72</v>
      </c>
      <c r="H15" s="4">
        <v>76.743471999999997</v>
      </c>
      <c r="I15" s="4">
        <v>359.96</v>
      </c>
      <c r="J15" s="4">
        <v>306.97000000000003</v>
      </c>
    </row>
    <row r="16" spans="1:10" x14ac:dyDescent="0.2">
      <c r="A16" s="3">
        <v>5</v>
      </c>
      <c r="B16" s="3">
        <v>5</v>
      </c>
      <c r="C16" s="3">
        <v>161</v>
      </c>
      <c r="D16" t="s">
        <v>61</v>
      </c>
      <c r="E16" s="3">
        <v>4</v>
      </c>
      <c r="F16" s="4">
        <v>349.99</v>
      </c>
      <c r="G16" s="5">
        <v>18.2</v>
      </c>
      <c r="H16" s="4">
        <v>286.29182000000003</v>
      </c>
      <c r="I16" s="4">
        <v>1399.96</v>
      </c>
      <c r="J16" s="4">
        <v>1145.17</v>
      </c>
    </row>
    <row r="17" spans="1:10" x14ac:dyDescent="0.2">
      <c r="A17" s="3">
        <v>5</v>
      </c>
      <c r="B17" s="3">
        <v>5</v>
      </c>
      <c r="C17" s="3">
        <v>39</v>
      </c>
      <c r="D17" t="s">
        <v>62</v>
      </c>
      <c r="E17" s="3">
        <v>4</v>
      </c>
      <c r="F17" s="4">
        <v>1.99</v>
      </c>
      <c r="G17" s="5">
        <v>17.48</v>
      </c>
      <c r="H17" s="4">
        <v>1.6421479999999999</v>
      </c>
      <c r="I17" s="4">
        <v>7.96</v>
      </c>
      <c r="J17" s="4">
        <v>6.57</v>
      </c>
    </row>
    <row r="18" spans="1:10" x14ac:dyDescent="0.2">
      <c r="A18" s="3">
        <v>5</v>
      </c>
      <c r="B18" s="3">
        <v>5</v>
      </c>
      <c r="C18" s="3">
        <v>3</v>
      </c>
      <c r="D18" t="s">
        <v>16</v>
      </c>
      <c r="E18" s="3">
        <v>4</v>
      </c>
      <c r="F18" s="4">
        <v>14.99</v>
      </c>
      <c r="G18" s="5">
        <v>9.84</v>
      </c>
      <c r="H18" s="4">
        <v>13.514984</v>
      </c>
      <c r="I18" s="4">
        <v>59.96</v>
      </c>
      <c r="J18" s="4">
        <v>54.06</v>
      </c>
    </row>
    <row r="19" spans="1:10" x14ac:dyDescent="0.2">
      <c r="A19" s="3">
        <v>6</v>
      </c>
      <c r="B19" s="3">
        <v>6</v>
      </c>
      <c r="C19" s="3">
        <v>192</v>
      </c>
      <c r="D19" t="s">
        <v>63</v>
      </c>
      <c r="E19" s="3">
        <v>5</v>
      </c>
      <c r="F19" s="4">
        <v>10999.99</v>
      </c>
      <c r="G19" s="5">
        <v>15.94</v>
      </c>
      <c r="H19" s="4">
        <v>9246.5915939999995</v>
      </c>
      <c r="I19" s="4">
        <v>54999.95</v>
      </c>
      <c r="J19" s="4">
        <v>46232.959999999999</v>
      </c>
    </row>
    <row r="20" spans="1:10" x14ac:dyDescent="0.2">
      <c r="A20" s="3">
        <v>6</v>
      </c>
      <c r="B20" s="3">
        <v>6</v>
      </c>
      <c r="C20" s="3">
        <v>130</v>
      </c>
      <c r="D20" t="s">
        <v>64</v>
      </c>
      <c r="E20" s="3">
        <v>1</v>
      </c>
      <c r="F20" s="4">
        <v>349.99</v>
      </c>
      <c r="G20" s="5">
        <v>11.51</v>
      </c>
      <c r="H20" s="4">
        <v>309.70615100000003</v>
      </c>
      <c r="I20" s="4">
        <v>349.99</v>
      </c>
      <c r="J20" s="4">
        <v>309.70999999999998</v>
      </c>
    </row>
    <row r="21" spans="1:10" x14ac:dyDescent="0.2">
      <c r="A21" s="3">
        <v>6</v>
      </c>
      <c r="B21" s="3">
        <v>6</v>
      </c>
      <c r="C21" s="3">
        <v>155</v>
      </c>
      <c r="D21" t="s">
        <v>65</v>
      </c>
      <c r="E21" s="3">
        <v>4</v>
      </c>
      <c r="F21" s="4">
        <v>24.99</v>
      </c>
      <c r="G21" s="5">
        <v>4.9400000000000004</v>
      </c>
      <c r="H21" s="4">
        <v>23.755493999999999</v>
      </c>
      <c r="I21" s="4">
        <v>99.96</v>
      </c>
      <c r="J21" s="4">
        <v>95.02</v>
      </c>
    </row>
    <row r="22" spans="1:10" x14ac:dyDescent="0.2">
      <c r="A22" s="3">
        <v>6</v>
      </c>
      <c r="B22" s="3">
        <v>6</v>
      </c>
      <c r="C22" s="3">
        <v>42</v>
      </c>
      <c r="D22" t="s">
        <v>66</v>
      </c>
      <c r="E22" s="3">
        <v>4</v>
      </c>
      <c r="F22" s="4">
        <v>0.99</v>
      </c>
      <c r="G22" s="5">
        <v>14.92</v>
      </c>
      <c r="H22" s="4">
        <v>0.84229200000000004</v>
      </c>
      <c r="I22" s="4">
        <v>3.96</v>
      </c>
      <c r="J22" s="4">
        <v>3.37</v>
      </c>
    </row>
    <row r="23" spans="1:10" x14ac:dyDescent="0.2">
      <c r="A23" s="3">
        <v>7</v>
      </c>
      <c r="B23" s="3">
        <v>7</v>
      </c>
      <c r="C23" s="3">
        <v>56</v>
      </c>
      <c r="D23" t="s">
        <v>67</v>
      </c>
      <c r="E23" s="3">
        <v>1</v>
      </c>
      <c r="F23" s="4">
        <v>49.99</v>
      </c>
      <c r="G23" s="5">
        <v>14.04</v>
      </c>
      <c r="H23" s="4">
        <v>42.971404</v>
      </c>
      <c r="I23" s="4">
        <v>49.99</v>
      </c>
      <c r="J23" s="4">
        <v>42.97</v>
      </c>
    </row>
    <row r="24" spans="1:10" x14ac:dyDescent="0.2">
      <c r="A24" s="3">
        <v>7</v>
      </c>
      <c r="B24" s="3">
        <v>7</v>
      </c>
      <c r="C24" s="3">
        <v>136</v>
      </c>
      <c r="D24" t="s">
        <v>68</v>
      </c>
      <c r="E24" s="3">
        <v>1</v>
      </c>
      <c r="F24" s="4">
        <v>499.99</v>
      </c>
      <c r="G24" s="5">
        <v>17.41</v>
      </c>
      <c r="H24" s="4">
        <v>412.94174099999998</v>
      </c>
      <c r="I24" s="4">
        <v>499.99</v>
      </c>
      <c r="J24" s="4">
        <v>412.94</v>
      </c>
    </row>
    <row r="25" spans="1:10" x14ac:dyDescent="0.2">
      <c r="A25" s="3">
        <v>7</v>
      </c>
      <c r="B25" s="3">
        <v>7</v>
      </c>
      <c r="C25" s="3">
        <v>9</v>
      </c>
      <c r="D25" t="s">
        <v>35</v>
      </c>
      <c r="E25" s="3">
        <v>2</v>
      </c>
      <c r="F25" s="4">
        <v>69.989999999999995</v>
      </c>
      <c r="G25" s="5">
        <v>0.62</v>
      </c>
      <c r="H25" s="4">
        <v>69.556061999999997</v>
      </c>
      <c r="I25" s="4">
        <v>139.97999999999999</v>
      </c>
      <c r="J25" s="4">
        <v>139.11000000000001</v>
      </c>
    </row>
    <row r="26" spans="1:10" x14ac:dyDescent="0.2">
      <c r="A26" s="3">
        <v>7</v>
      </c>
      <c r="B26" s="3">
        <v>7</v>
      </c>
      <c r="C26" s="3">
        <v>120</v>
      </c>
      <c r="D26" t="s">
        <v>69</v>
      </c>
      <c r="E26" s="3">
        <v>4</v>
      </c>
      <c r="F26" s="4">
        <v>9.99</v>
      </c>
      <c r="G26" s="5">
        <v>13.39</v>
      </c>
      <c r="H26" s="4">
        <v>8.6523389999999996</v>
      </c>
      <c r="I26" s="4">
        <v>39.96</v>
      </c>
      <c r="J26" s="4">
        <v>34.61</v>
      </c>
    </row>
    <row r="27" spans="1:10" x14ac:dyDescent="0.2">
      <c r="A27" s="3">
        <v>7</v>
      </c>
      <c r="B27" s="3">
        <v>7</v>
      </c>
      <c r="C27" s="3">
        <v>56</v>
      </c>
      <c r="D27" t="s">
        <v>67</v>
      </c>
      <c r="E27" s="3">
        <v>1</v>
      </c>
      <c r="F27" s="4">
        <v>49.99</v>
      </c>
      <c r="G27" s="5">
        <v>14.04</v>
      </c>
      <c r="H27" s="4">
        <v>42.971404</v>
      </c>
      <c r="I27" s="4">
        <v>49.99</v>
      </c>
      <c r="J27" s="4">
        <v>42.97</v>
      </c>
    </row>
    <row r="28" spans="1:10" x14ac:dyDescent="0.2">
      <c r="A28" s="3">
        <v>7</v>
      </c>
      <c r="B28" s="3">
        <v>7</v>
      </c>
      <c r="C28" s="3">
        <v>90</v>
      </c>
      <c r="D28" t="s">
        <v>70</v>
      </c>
      <c r="E28" s="3">
        <v>5</v>
      </c>
      <c r="F28" s="4">
        <v>89.99</v>
      </c>
      <c r="G28" s="5">
        <v>4.2</v>
      </c>
      <c r="H28" s="4">
        <v>86.210419999999985</v>
      </c>
      <c r="I28" s="4">
        <v>449.95</v>
      </c>
      <c r="J28" s="4">
        <v>431.05</v>
      </c>
    </row>
    <row r="29" spans="1:10" x14ac:dyDescent="0.2">
      <c r="A29" s="3">
        <v>8</v>
      </c>
      <c r="B29" s="3">
        <v>8</v>
      </c>
      <c r="C29" s="3">
        <v>18</v>
      </c>
      <c r="D29" t="s">
        <v>71</v>
      </c>
      <c r="E29" s="3">
        <v>2</v>
      </c>
      <c r="F29" s="4">
        <v>8.99</v>
      </c>
      <c r="G29" s="5">
        <v>9.58</v>
      </c>
      <c r="H29" s="4">
        <v>8.1287579999999995</v>
      </c>
      <c r="I29" s="4">
        <v>17.98</v>
      </c>
      <c r="J29" s="4">
        <v>16.260000000000002</v>
      </c>
    </row>
    <row r="30" spans="1:10" x14ac:dyDescent="0.2">
      <c r="A30" s="3">
        <v>8</v>
      </c>
      <c r="B30" s="3">
        <v>8</v>
      </c>
      <c r="C30" s="3">
        <v>50</v>
      </c>
      <c r="D30" t="s">
        <v>72</v>
      </c>
      <c r="E30" s="3">
        <v>3</v>
      </c>
      <c r="F30" s="4">
        <v>9.99</v>
      </c>
      <c r="G30" s="5">
        <v>10.24</v>
      </c>
      <c r="H30" s="4">
        <v>8.9670240000000003</v>
      </c>
      <c r="I30" s="4">
        <v>29.97</v>
      </c>
      <c r="J30" s="4">
        <v>26.9</v>
      </c>
    </row>
    <row r="31" spans="1:10" x14ac:dyDescent="0.2">
      <c r="A31" s="3">
        <v>8</v>
      </c>
      <c r="B31" s="3">
        <v>8</v>
      </c>
      <c r="C31" s="3">
        <v>162</v>
      </c>
      <c r="D31" t="s">
        <v>50</v>
      </c>
      <c r="E31" s="3">
        <v>4</v>
      </c>
      <c r="F31" s="4">
        <v>29.99</v>
      </c>
      <c r="G31" s="5">
        <v>12.13</v>
      </c>
      <c r="H31" s="4">
        <v>26.352212999999999</v>
      </c>
      <c r="I31" s="4">
        <v>119.96</v>
      </c>
      <c r="J31" s="4">
        <v>105.41</v>
      </c>
    </row>
    <row r="32" spans="1:10" x14ac:dyDescent="0.2">
      <c r="A32" s="3">
        <v>8</v>
      </c>
      <c r="B32" s="3">
        <v>8</v>
      </c>
      <c r="C32" s="3">
        <v>11</v>
      </c>
      <c r="D32" t="s">
        <v>73</v>
      </c>
      <c r="E32" s="3">
        <v>3</v>
      </c>
      <c r="F32" s="4">
        <v>1899.99</v>
      </c>
      <c r="G32" s="5">
        <v>8.57</v>
      </c>
      <c r="H32" s="4">
        <v>1737.1608570000001</v>
      </c>
      <c r="I32" s="4">
        <v>5699.97</v>
      </c>
      <c r="J32" s="4">
        <v>5211.4799999999996</v>
      </c>
    </row>
    <row r="33" spans="1:10" x14ac:dyDescent="0.2">
      <c r="A33" s="3">
        <v>8</v>
      </c>
      <c r="B33" s="3">
        <v>8</v>
      </c>
      <c r="C33" s="3">
        <v>108</v>
      </c>
      <c r="D33" t="s">
        <v>74</v>
      </c>
      <c r="E33" s="3">
        <v>4</v>
      </c>
      <c r="F33" s="4">
        <v>29.99</v>
      </c>
      <c r="G33" s="5">
        <v>13.85</v>
      </c>
      <c r="H33" s="4">
        <v>25.836385</v>
      </c>
      <c r="I33" s="4">
        <v>119.96</v>
      </c>
      <c r="J33" s="4">
        <v>103.35</v>
      </c>
    </row>
    <row r="34" spans="1:10" x14ac:dyDescent="0.2">
      <c r="A34" s="3">
        <v>8</v>
      </c>
      <c r="B34" s="3">
        <v>8</v>
      </c>
      <c r="C34" s="3">
        <v>106</v>
      </c>
      <c r="D34" t="s">
        <v>75</v>
      </c>
      <c r="E34" s="3">
        <v>1</v>
      </c>
      <c r="F34" s="4">
        <v>349.99</v>
      </c>
      <c r="G34" s="5">
        <v>12.02</v>
      </c>
      <c r="H34" s="4">
        <v>307.92120199999999</v>
      </c>
      <c r="I34" s="4">
        <v>349.99</v>
      </c>
      <c r="J34" s="4">
        <v>307.92</v>
      </c>
    </row>
    <row r="35" spans="1:10" x14ac:dyDescent="0.2">
      <c r="A35" s="3">
        <v>9</v>
      </c>
      <c r="B35" s="3">
        <v>9</v>
      </c>
      <c r="C35" s="3">
        <v>1</v>
      </c>
      <c r="D35" t="s">
        <v>9</v>
      </c>
      <c r="E35" s="3">
        <v>3</v>
      </c>
      <c r="F35" s="4">
        <v>9.99</v>
      </c>
      <c r="G35" s="5">
        <v>10.48</v>
      </c>
      <c r="H35" s="4">
        <v>8.943048000000001</v>
      </c>
      <c r="I35" s="4">
        <v>29.97</v>
      </c>
      <c r="J35" s="4">
        <v>26.83</v>
      </c>
    </row>
    <row r="36" spans="1:10" x14ac:dyDescent="0.2">
      <c r="A36" s="3">
        <v>9</v>
      </c>
      <c r="B36" s="3">
        <v>9</v>
      </c>
      <c r="C36" s="3">
        <v>98</v>
      </c>
      <c r="D36" t="s">
        <v>76</v>
      </c>
      <c r="E36" s="3">
        <v>2</v>
      </c>
      <c r="F36" s="4">
        <v>13999.99</v>
      </c>
      <c r="G36" s="5">
        <v>5.05</v>
      </c>
      <c r="H36" s="4">
        <v>13292.990505</v>
      </c>
      <c r="I36" s="4">
        <v>27999.98</v>
      </c>
      <c r="J36" s="4">
        <v>26585.98</v>
      </c>
    </row>
    <row r="37" spans="1:10" x14ac:dyDescent="0.2">
      <c r="A37" s="3">
        <v>9</v>
      </c>
      <c r="B37" s="3">
        <v>9</v>
      </c>
      <c r="C37" s="3">
        <v>132</v>
      </c>
      <c r="D37" t="s">
        <v>77</v>
      </c>
      <c r="E37" s="3">
        <v>3</v>
      </c>
      <c r="F37" s="4">
        <v>499.99</v>
      </c>
      <c r="G37" s="5">
        <v>19.45</v>
      </c>
      <c r="H37" s="4">
        <v>402.74194499999999</v>
      </c>
      <c r="I37" s="4">
        <v>1499.97</v>
      </c>
      <c r="J37" s="4">
        <v>1208.23</v>
      </c>
    </row>
    <row r="38" spans="1:10" x14ac:dyDescent="0.2">
      <c r="A38" s="3">
        <v>9</v>
      </c>
      <c r="B38" s="3">
        <v>9</v>
      </c>
      <c r="C38" s="3">
        <v>90</v>
      </c>
      <c r="D38" t="s">
        <v>70</v>
      </c>
      <c r="E38" s="3">
        <v>2</v>
      </c>
      <c r="F38" s="4">
        <v>89.99</v>
      </c>
      <c r="G38" s="5">
        <v>4.2</v>
      </c>
      <c r="H38" s="4">
        <v>86.210419999999985</v>
      </c>
      <c r="I38" s="4">
        <v>179.98</v>
      </c>
      <c r="J38" s="4">
        <v>172.42</v>
      </c>
    </row>
    <row r="39" spans="1:10" x14ac:dyDescent="0.2">
      <c r="A39" s="3">
        <v>10</v>
      </c>
      <c r="B39" s="3">
        <v>10</v>
      </c>
      <c r="C39" s="3">
        <v>41</v>
      </c>
      <c r="D39" t="s">
        <v>78</v>
      </c>
      <c r="E39" s="3">
        <v>1</v>
      </c>
      <c r="F39" s="4">
        <v>2.4900000000000002</v>
      </c>
      <c r="G39" s="5">
        <v>13.28</v>
      </c>
      <c r="H39" s="4">
        <v>2.1593279999999999</v>
      </c>
      <c r="I39" s="4">
        <v>2.4900000000000002</v>
      </c>
      <c r="J39" s="4">
        <v>2.16</v>
      </c>
    </row>
    <row r="40" spans="1:10" x14ac:dyDescent="0.2">
      <c r="A40" s="3">
        <v>10</v>
      </c>
      <c r="B40" s="3">
        <v>10</v>
      </c>
      <c r="C40" s="3">
        <v>108</v>
      </c>
      <c r="D40" t="s">
        <v>74</v>
      </c>
      <c r="E40" s="3">
        <v>5</v>
      </c>
      <c r="F40" s="4">
        <v>29.99</v>
      </c>
      <c r="G40" s="5">
        <v>13.85</v>
      </c>
      <c r="H40" s="4">
        <v>25.836385</v>
      </c>
      <c r="I40" s="4">
        <v>149.94999999999999</v>
      </c>
      <c r="J40" s="4">
        <v>129.18</v>
      </c>
    </row>
    <row r="41" spans="1:10" x14ac:dyDescent="0.2">
      <c r="A41" s="3">
        <v>11</v>
      </c>
      <c r="B41" s="3">
        <v>11</v>
      </c>
      <c r="C41" s="3">
        <v>115</v>
      </c>
      <c r="D41" t="s">
        <v>79</v>
      </c>
      <c r="E41" s="3">
        <v>4</v>
      </c>
      <c r="F41" s="4">
        <v>14999.99</v>
      </c>
      <c r="G41" s="5">
        <v>6.92</v>
      </c>
      <c r="H41" s="4">
        <v>13961.990691999999</v>
      </c>
      <c r="I41" s="4">
        <v>59999.96</v>
      </c>
      <c r="J41" s="4">
        <v>55847.96</v>
      </c>
    </row>
    <row r="42" spans="1:10" x14ac:dyDescent="0.2">
      <c r="A42" s="3">
        <v>11</v>
      </c>
      <c r="B42" s="3">
        <v>11</v>
      </c>
      <c r="C42" s="3">
        <v>101</v>
      </c>
      <c r="D42" t="s">
        <v>80</v>
      </c>
      <c r="E42" s="3">
        <v>2</v>
      </c>
      <c r="F42" s="4">
        <v>549.99</v>
      </c>
      <c r="G42" s="5">
        <v>13.67</v>
      </c>
      <c r="H42" s="4">
        <v>474.80636699999997</v>
      </c>
      <c r="I42" s="4">
        <v>1099.98</v>
      </c>
      <c r="J42" s="4">
        <v>949.61</v>
      </c>
    </row>
    <row r="43" spans="1:10" x14ac:dyDescent="0.2">
      <c r="A43" s="3">
        <v>11</v>
      </c>
      <c r="B43" s="3">
        <v>11</v>
      </c>
      <c r="C43" s="3">
        <v>55</v>
      </c>
      <c r="D43" t="s">
        <v>81</v>
      </c>
      <c r="E43" s="3">
        <v>4</v>
      </c>
      <c r="F43" s="4">
        <v>6.99</v>
      </c>
      <c r="G43" s="5">
        <v>14.76</v>
      </c>
      <c r="H43" s="4">
        <v>5.9582760000000006</v>
      </c>
      <c r="I43" s="4">
        <v>27.96</v>
      </c>
      <c r="J43" s="4">
        <v>23.83</v>
      </c>
    </row>
    <row r="44" spans="1:10" x14ac:dyDescent="0.2">
      <c r="A44" s="3">
        <v>11</v>
      </c>
      <c r="B44" s="3">
        <v>11</v>
      </c>
      <c r="C44" s="3">
        <v>25</v>
      </c>
      <c r="D44" t="s">
        <v>82</v>
      </c>
      <c r="E44" s="3">
        <v>3</v>
      </c>
      <c r="F44" s="4">
        <v>1.29</v>
      </c>
      <c r="G44" s="5">
        <v>0.16</v>
      </c>
      <c r="H44" s="4">
        <v>1.287936</v>
      </c>
      <c r="I44" s="4">
        <v>3.87</v>
      </c>
      <c r="J44" s="4">
        <v>3.86</v>
      </c>
    </row>
    <row r="45" spans="1:10" x14ac:dyDescent="0.2">
      <c r="A45" s="3">
        <v>11</v>
      </c>
      <c r="B45" s="3">
        <v>11</v>
      </c>
      <c r="C45" s="3">
        <v>161</v>
      </c>
      <c r="D45" t="s">
        <v>61</v>
      </c>
      <c r="E45" s="3">
        <v>2</v>
      </c>
      <c r="F45" s="4">
        <v>349.99</v>
      </c>
      <c r="G45" s="5">
        <v>18.2</v>
      </c>
      <c r="H45" s="4">
        <v>286.29182000000003</v>
      </c>
      <c r="I45" s="4">
        <v>699.98</v>
      </c>
      <c r="J45" s="4">
        <v>572.58000000000004</v>
      </c>
    </row>
    <row r="46" spans="1:10" x14ac:dyDescent="0.2">
      <c r="A46" s="3">
        <v>12</v>
      </c>
      <c r="B46" s="3">
        <v>12</v>
      </c>
      <c r="C46" s="3">
        <v>117</v>
      </c>
      <c r="D46" t="s">
        <v>83</v>
      </c>
      <c r="E46" s="3">
        <v>1</v>
      </c>
      <c r="F46" s="4">
        <v>7499.99</v>
      </c>
      <c r="G46" s="5">
        <v>11.58</v>
      </c>
      <c r="H46" s="4">
        <v>6631.4911579999998</v>
      </c>
      <c r="I46" s="4">
        <v>7499.99</v>
      </c>
      <c r="J46" s="4">
        <v>6631.49</v>
      </c>
    </row>
    <row r="47" spans="1:10" x14ac:dyDescent="0.2">
      <c r="A47" s="3">
        <v>12</v>
      </c>
      <c r="B47" s="3">
        <v>12</v>
      </c>
      <c r="C47" s="3">
        <v>28</v>
      </c>
      <c r="D47" t="s">
        <v>84</v>
      </c>
      <c r="E47" s="3">
        <v>5</v>
      </c>
      <c r="F47" s="4">
        <v>5.49</v>
      </c>
      <c r="G47" s="5">
        <v>8.69</v>
      </c>
      <c r="H47" s="4">
        <v>5.0129190000000001</v>
      </c>
      <c r="I47" s="4">
        <v>27.45</v>
      </c>
      <c r="J47" s="4">
        <v>25.06</v>
      </c>
    </row>
    <row r="48" spans="1:10" x14ac:dyDescent="0.2">
      <c r="A48" s="3">
        <v>12</v>
      </c>
      <c r="B48" s="3">
        <v>12</v>
      </c>
      <c r="C48" s="3">
        <v>98</v>
      </c>
      <c r="D48" t="s">
        <v>76</v>
      </c>
      <c r="E48" s="3">
        <v>2</v>
      </c>
      <c r="F48" s="4">
        <v>13999.99</v>
      </c>
      <c r="G48" s="5">
        <v>5.05</v>
      </c>
      <c r="H48" s="4">
        <v>13292.990505</v>
      </c>
      <c r="I48" s="4">
        <v>27999.98</v>
      </c>
      <c r="J48" s="4">
        <v>26585.98</v>
      </c>
    </row>
    <row r="49" spans="1:10" x14ac:dyDescent="0.2">
      <c r="A49" s="3">
        <v>12</v>
      </c>
      <c r="B49" s="3">
        <v>12</v>
      </c>
      <c r="C49" s="3">
        <v>8</v>
      </c>
      <c r="D49" t="s">
        <v>32</v>
      </c>
      <c r="E49" s="3">
        <v>1</v>
      </c>
      <c r="F49" s="4">
        <v>89.99</v>
      </c>
      <c r="G49" s="5">
        <v>14.72</v>
      </c>
      <c r="H49" s="4">
        <v>76.743471999999997</v>
      </c>
      <c r="I49" s="4">
        <v>89.99</v>
      </c>
      <c r="J49" s="4">
        <v>76.739999999999995</v>
      </c>
    </row>
    <row r="50" spans="1:10" x14ac:dyDescent="0.2">
      <c r="A50" s="3">
        <v>12</v>
      </c>
      <c r="B50" s="3">
        <v>12</v>
      </c>
      <c r="C50" s="3">
        <v>162</v>
      </c>
      <c r="D50" t="s">
        <v>50</v>
      </c>
      <c r="E50" s="3">
        <v>5</v>
      </c>
      <c r="F50" s="4">
        <v>29.99</v>
      </c>
      <c r="G50" s="5">
        <v>12.13</v>
      </c>
      <c r="H50" s="4">
        <v>26.352212999999999</v>
      </c>
      <c r="I50" s="4">
        <v>149.94999999999999</v>
      </c>
      <c r="J50" s="4">
        <v>131.76</v>
      </c>
    </row>
    <row r="51" spans="1:10" x14ac:dyDescent="0.2">
      <c r="A51" s="3">
        <v>12</v>
      </c>
      <c r="B51" s="3">
        <v>12</v>
      </c>
      <c r="C51" s="3">
        <v>14</v>
      </c>
      <c r="D51" t="s">
        <v>85</v>
      </c>
      <c r="E51" s="3">
        <v>4</v>
      </c>
      <c r="F51" s="4">
        <v>499.99</v>
      </c>
      <c r="G51" s="5">
        <v>2.0099999999999998</v>
      </c>
      <c r="H51" s="4">
        <v>489.940201</v>
      </c>
      <c r="I51" s="4">
        <v>1999.96</v>
      </c>
      <c r="J51" s="4">
        <v>1959.76</v>
      </c>
    </row>
    <row r="52" spans="1:10" x14ac:dyDescent="0.2">
      <c r="A52" s="3">
        <v>13</v>
      </c>
      <c r="B52" s="3">
        <v>13</v>
      </c>
      <c r="C52" s="3">
        <v>35</v>
      </c>
      <c r="D52" t="s">
        <v>86</v>
      </c>
      <c r="E52" s="3">
        <v>2</v>
      </c>
      <c r="F52" s="4">
        <v>2.29</v>
      </c>
      <c r="G52" s="5">
        <v>5.38</v>
      </c>
      <c r="H52" s="4">
        <v>2.166798</v>
      </c>
      <c r="I52" s="4">
        <v>4.58</v>
      </c>
      <c r="J52" s="4">
        <v>4.33</v>
      </c>
    </row>
    <row r="53" spans="1:10" x14ac:dyDescent="0.2">
      <c r="A53" s="3">
        <v>13</v>
      </c>
      <c r="B53" s="3">
        <v>13</v>
      </c>
      <c r="C53" s="3">
        <v>23</v>
      </c>
      <c r="D53" t="s">
        <v>87</v>
      </c>
      <c r="E53" s="3">
        <v>4</v>
      </c>
      <c r="F53" s="4">
        <v>2.99</v>
      </c>
      <c r="G53" s="5">
        <v>11.05</v>
      </c>
      <c r="H53" s="4">
        <v>2.659605</v>
      </c>
      <c r="I53" s="4">
        <v>11.96</v>
      </c>
      <c r="J53" s="4">
        <v>10.64</v>
      </c>
    </row>
    <row r="54" spans="1:10" x14ac:dyDescent="0.2">
      <c r="A54" s="3">
        <v>14</v>
      </c>
      <c r="B54" s="3">
        <v>14</v>
      </c>
      <c r="C54" s="3">
        <v>44</v>
      </c>
      <c r="D54" t="s">
        <v>88</v>
      </c>
      <c r="E54" s="3">
        <v>4</v>
      </c>
      <c r="F54" s="4">
        <v>29.99</v>
      </c>
      <c r="G54" s="5">
        <v>14.87</v>
      </c>
      <c r="H54" s="4">
        <v>25.530486999999997</v>
      </c>
      <c r="I54" s="4">
        <v>119.96</v>
      </c>
      <c r="J54" s="4">
        <v>102.12</v>
      </c>
    </row>
    <row r="55" spans="1:10" x14ac:dyDescent="0.2">
      <c r="A55" s="3">
        <v>14</v>
      </c>
      <c r="B55" s="3">
        <v>14</v>
      </c>
      <c r="C55" s="3">
        <v>68</v>
      </c>
      <c r="D55" t="s">
        <v>89</v>
      </c>
      <c r="E55" s="3">
        <v>1</v>
      </c>
      <c r="F55" s="4">
        <v>24.99</v>
      </c>
      <c r="G55" s="5">
        <v>3</v>
      </c>
      <c r="H55" s="4">
        <v>24.240299999999998</v>
      </c>
      <c r="I55" s="4">
        <v>24.99</v>
      </c>
      <c r="J55" s="4">
        <v>24.24</v>
      </c>
    </row>
    <row r="56" spans="1:10" x14ac:dyDescent="0.2">
      <c r="A56" s="3">
        <v>14</v>
      </c>
      <c r="B56" s="3">
        <v>14</v>
      </c>
      <c r="C56" s="3">
        <v>65</v>
      </c>
      <c r="D56" t="s">
        <v>90</v>
      </c>
      <c r="E56" s="3">
        <v>5</v>
      </c>
      <c r="F56" s="4">
        <v>12.99</v>
      </c>
      <c r="G56" s="5">
        <v>10.34</v>
      </c>
      <c r="H56" s="4">
        <v>11.646834</v>
      </c>
      <c r="I56" s="4">
        <v>64.95</v>
      </c>
      <c r="J56" s="4">
        <v>58.23</v>
      </c>
    </row>
    <row r="57" spans="1:10" x14ac:dyDescent="0.2">
      <c r="A57" s="3">
        <v>15</v>
      </c>
      <c r="B57" s="3">
        <v>15</v>
      </c>
      <c r="C57" s="3">
        <v>61</v>
      </c>
      <c r="D57" t="s">
        <v>91</v>
      </c>
      <c r="E57" s="3">
        <v>2</v>
      </c>
      <c r="F57" s="4">
        <v>34.99</v>
      </c>
      <c r="G57" s="5">
        <v>17.02</v>
      </c>
      <c r="H57" s="4">
        <v>29.034701999999999</v>
      </c>
      <c r="I57" s="4">
        <v>69.98</v>
      </c>
      <c r="J57" s="4">
        <v>58.07</v>
      </c>
    </row>
    <row r="58" spans="1:10" x14ac:dyDescent="0.2">
      <c r="A58" s="3">
        <v>15</v>
      </c>
      <c r="B58" s="3">
        <v>15</v>
      </c>
      <c r="C58" s="3">
        <v>105</v>
      </c>
      <c r="D58" t="s">
        <v>92</v>
      </c>
      <c r="E58" s="3">
        <v>1</v>
      </c>
      <c r="F58" s="4">
        <v>99.99</v>
      </c>
      <c r="G58" s="5">
        <v>17.170000000000002</v>
      </c>
      <c r="H58" s="4">
        <v>82.821716999999992</v>
      </c>
      <c r="I58" s="4">
        <v>99.99</v>
      </c>
      <c r="J58" s="4">
        <v>82.82</v>
      </c>
    </row>
    <row r="59" spans="1:10" x14ac:dyDescent="0.2">
      <c r="A59" s="3">
        <v>15</v>
      </c>
      <c r="B59" s="3">
        <v>15</v>
      </c>
      <c r="C59" s="3">
        <v>141</v>
      </c>
      <c r="D59" t="s">
        <v>93</v>
      </c>
      <c r="E59" s="3">
        <v>2</v>
      </c>
      <c r="F59" s="4">
        <v>39.99</v>
      </c>
      <c r="G59" s="5">
        <v>7.74</v>
      </c>
      <c r="H59" s="4">
        <v>36.894773999999998</v>
      </c>
      <c r="I59" s="4">
        <v>79.98</v>
      </c>
      <c r="J59" s="4">
        <v>73.790000000000006</v>
      </c>
    </row>
    <row r="60" spans="1:10" x14ac:dyDescent="0.2">
      <c r="A60" s="3">
        <v>16</v>
      </c>
      <c r="B60" s="3">
        <v>16</v>
      </c>
      <c r="C60" s="3">
        <v>20</v>
      </c>
      <c r="D60" t="s">
        <v>94</v>
      </c>
      <c r="E60" s="3">
        <v>5</v>
      </c>
      <c r="F60" s="4">
        <v>4.99</v>
      </c>
      <c r="G60" s="5">
        <v>9.33</v>
      </c>
      <c r="H60" s="4">
        <v>4.5244330000000001</v>
      </c>
      <c r="I60" s="4">
        <v>24.95</v>
      </c>
      <c r="J60" s="4">
        <v>22.62</v>
      </c>
    </row>
    <row r="61" spans="1:10" x14ac:dyDescent="0.2">
      <c r="A61" s="3">
        <v>16</v>
      </c>
      <c r="B61" s="3">
        <v>16</v>
      </c>
      <c r="C61" s="3">
        <v>91</v>
      </c>
      <c r="D61" t="s">
        <v>95</v>
      </c>
      <c r="E61" s="3">
        <v>3</v>
      </c>
      <c r="F61" s="4">
        <v>119.99</v>
      </c>
      <c r="G61" s="5">
        <v>4.97</v>
      </c>
      <c r="H61" s="4">
        <v>114.02649700000001</v>
      </c>
      <c r="I61" s="4">
        <v>359.969999999999</v>
      </c>
      <c r="J61" s="4">
        <v>342.08</v>
      </c>
    </row>
    <row r="62" spans="1:10" x14ac:dyDescent="0.2">
      <c r="A62" s="3">
        <v>17</v>
      </c>
      <c r="B62" s="3">
        <v>17</v>
      </c>
      <c r="C62" s="3">
        <v>123</v>
      </c>
      <c r="D62" t="s">
        <v>57</v>
      </c>
      <c r="E62" s="3">
        <v>5</v>
      </c>
      <c r="F62" s="4">
        <v>1099.99</v>
      </c>
      <c r="G62" s="5">
        <v>9.3699999999999992</v>
      </c>
      <c r="H62" s="4">
        <v>996.92093699999998</v>
      </c>
      <c r="I62" s="4">
        <v>5499.95</v>
      </c>
      <c r="J62" s="4">
        <v>4984.6000000000004</v>
      </c>
    </row>
    <row r="63" spans="1:10" x14ac:dyDescent="0.2">
      <c r="A63" s="3">
        <v>17</v>
      </c>
      <c r="B63" s="3">
        <v>17</v>
      </c>
      <c r="C63" s="3">
        <v>137</v>
      </c>
      <c r="D63" t="s">
        <v>96</v>
      </c>
      <c r="E63" s="3">
        <v>1</v>
      </c>
      <c r="F63" s="4">
        <v>19.989999999999998</v>
      </c>
      <c r="G63" s="5">
        <v>4.93</v>
      </c>
      <c r="H63" s="4">
        <v>19.004493</v>
      </c>
      <c r="I63" s="4">
        <v>19.989999999999998</v>
      </c>
      <c r="J63" s="4">
        <v>19</v>
      </c>
    </row>
    <row r="64" spans="1:10" x14ac:dyDescent="0.2">
      <c r="A64" s="3">
        <v>17</v>
      </c>
      <c r="B64" s="3">
        <v>17</v>
      </c>
      <c r="C64" s="3">
        <v>25</v>
      </c>
      <c r="D64" t="s">
        <v>82</v>
      </c>
      <c r="E64" s="3">
        <v>5</v>
      </c>
      <c r="F64" s="4">
        <v>1.29</v>
      </c>
      <c r="G64" s="5">
        <v>0.16</v>
      </c>
      <c r="H64" s="4">
        <v>1.287936</v>
      </c>
      <c r="I64" s="4">
        <v>6.45</v>
      </c>
      <c r="J64" s="4">
        <v>6.44</v>
      </c>
    </row>
    <row r="65" spans="1:10" x14ac:dyDescent="0.2">
      <c r="A65" s="3">
        <v>17</v>
      </c>
      <c r="B65" s="3">
        <v>17</v>
      </c>
      <c r="C65" s="3">
        <v>26</v>
      </c>
      <c r="D65" t="s">
        <v>97</v>
      </c>
      <c r="E65" s="3">
        <v>5</v>
      </c>
      <c r="F65" s="4">
        <v>0.99</v>
      </c>
      <c r="G65" s="5">
        <v>1</v>
      </c>
      <c r="H65" s="4">
        <v>0.98009999999999997</v>
      </c>
      <c r="I65" s="4">
        <v>4.95</v>
      </c>
      <c r="J65" s="4">
        <v>4.9000000000000004</v>
      </c>
    </row>
    <row r="66" spans="1:10" x14ac:dyDescent="0.2">
      <c r="A66" s="3">
        <v>18</v>
      </c>
      <c r="B66" s="3">
        <v>18</v>
      </c>
      <c r="C66" s="3">
        <v>169</v>
      </c>
      <c r="D66" t="s">
        <v>98</v>
      </c>
      <c r="E66" s="3">
        <v>5</v>
      </c>
      <c r="F66" s="4">
        <v>24999.99</v>
      </c>
      <c r="G66" s="5">
        <v>2.63</v>
      </c>
      <c r="H66" s="4">
        <v>24342.490263000003</v>
      </c>
      <c r="I66" s="4">
        <v>124999.95</v>
      </c>
      <c r="J66" s="4">
        <v>121712.45</v>
      </c>
    </row>
    <row r="67" spans="1:10" x14ac:dyDescent="0.2">
      <c r="A67" s="3">
        <v>18</v>
      </c>
      <c r="B67" s="3">
        <v>18</v>
      </c>
      <c r="C67" s="3">
        <v>193</v>
      </c>
      <c r="D67" t="s">
        <v>99</v>
      </c>
      <c r="E67" s="3">
        <v>5</v>
      </c>
      <c r="F67" s="4">
        <v>799.99</v>
      </c>
      <c r="G67" s="5">
        <v>18.34</v>
      </c>
      <c r="H67" s="4">
        <v>653.27183400000001</v>
      </c>
      <c r="I67" s="4">
        <v>3999.95</v>
      </c>
      <c r="J67" s="4">
        <v>3266.36</v>
      </c>
    </row>
    <row r="68" spans="1:10" x14ac:dyDescent="0.2">
      <c r="A68" s="3">
        <v>19</v>
      </c>
      <c r="B68" s="3">
        <v>19</v>
      </c>
      <c r="C68" s="3">
        <v>22</v>
      </c>
      <c r="D68" t="s">
        <v>100</v>
      </c>
      <c r="E68" s="3">
        <v>3</v>
      </c>
      <c r="F68" s="4">
        <v>10.99</v>
      </c>
      <c r="G68" s="5">
        <v>10.27</v>
      </c>
      <c r="H68" s="4">
        <v>9.8613269999999993</v>
      </c>
      <c r="I68" s="4">
        <v>32.97</v>
      </c>
      <c r="J68" s="4">
        <v>29.58</v>
      </c>
    </row>
    <row r="69" spans="1:10" x14ac:dyDescent="0.2">
      <c r="A69" s="3">
        <v>19</v>
      </c>
      <c r="B69" s="3">
        <v>19</v>
      </c>
      <c r="C69" s="3">
        <v>56</v>
      </c>
      <c r="D69" t="s">
        <v>67</v>
      </c>
      <c r="E69" s="3">
        <v>1</v>
      </c>
      <c r="F69" s="4">
        <v>49.99</v>
      </c>
      <c r="G69" s="5">
        <v>14.04</v>
      </c>
      <c r="H69" s="4">
        <v>42.971404</v>
      </c>
      <c r="I69" s="4">
        <v>49.99</v>
      </c>
      <c r="J69" s="4">
        <v>42.97</v>
      </c>
    </row>
    <row r="70" spans="1:10" x14ac:dyDescent="0.2">
      <c r="A70" s="3">
        <v>19</v>
      </c>
      <c r="B70" s="3">
        <v>19</v>
      </c>
      <c r="C70" s="3">
        <v>97</v>
      </c>
      <c r="D70" t="s">
        <v>101</v>
      </c>
      <c r="E70" s="3">
        <v>2</v>
      </c>
      <c r="F70" s="4">
        <v>10999.99</v>
      </c>
      <c r="G70" s="5">
        <v>3.73</v>
      </c>
      <c r="H70" s="4">
        <v>10589.690372999999</v>
      </c>
      <c r="I70" s="4">
        <v>21999.98</v>
      </c>
      <c r="J70" s="4">
        <v>21179.38</v>
      </c>
    </row>
    <row r="71" spans="1:10" x14ac:dyDescent="0.2">
      <c r="A71" s="3">
        <v>19</v>
      </c>
      <c r="B71" s="3">
        <v>19</v>
      </c>
      <c r="C71" s="3">
        <v>71</v>
      </c>
      <c r="D71" t="s">
        <v>102</v>
      </c>
      <c r="E71" s="3">
        <v>1</v>
      </c>
      <c r="F71" s="4">
        <v>39.99</v>
      </c>
      <c r="G71" s="5">
        <v>5.7</v>
      </c>
      <c r="H71" s="4">
        <v>37.710569999999997</v>
      </c>
      <c r="I71" s="4">
        <v>39.99</v>
      </c>
      <c r="J71" s="4">
        <v>37.71</v>
      </c>
    </row>
    <row r="72" spans="1:10" x14ac:dyDescent="0.2">
      <c r="A72" s="3">
        <v>19</v>
      </c>
      <c r="B72" s="3">
        <v>19</v>
      </c>
      <c r="C72" s="3">
        <v>69</v>
      </c>
      <c r="D72" t="s">
        <v>103</v>
      </c>
      <c r="E72" s="3">
        <v>5</v>
      </c>
      <c r="F72" s="4">
        <v>3.99</v>
      </c>
      <c r="G72" s="5">
        <v>7.31</v>
      </c>
      <c r="H72" s="4">
        <v>3.6983310000000005</v>
      </c>
      <c r="I72" s="4">
        <v>19.95</v>
      </c>
      <c r="J72" s="4">
        <v>18.489999999999998</v>
      </c>
    </row>
    <row r="73" spans="1:10" x14ac:dyDescent="0.2">
      <c r="A73" s="3">
        <v>20</v>
      </c>
      <c r="B73" s="3">
        <v>20</v>
      </c>
      <c r="C73" s="3">
        <v>123</v>
      </c>
      <c r="D73" t="s">
        <v>57</v>
      </c>
      <c r="E73" s="3">
        <v>4</v>
      </c>
      <c r="F73" s="4">
        <v>1099.99</v>
      </c>
      <c r="G73" s="5">
        <v>9.3699999999999992</v>
      </c>
      <c r="H73" s="4">
        <v>996.92093699999998</v>
      </c>
      <c r="I73" s="4">
        <v>4399.96</v>
      </c>
      <c r="J73" s="4">
        <v>3987.68</v>
      </c>
    </row>
    <row r="74" spans="1:10" x14ac:dyDescent="0.2">
      <c r="A74" s="3">
        <v>20</v>
      </c>
      <c r="B74" s="3">
        <v>20</v>
      </c>
      <c r="C74" s="3">
        <v>36</v>
      </c>
      <c r="D74" t="s">
        <v>104</v>
      </c>
      <c r="E74" s="3">
        <v>3</v>
      </c>
      <c r="F74" s="4">
        <v>19.989999999999998</v>
      </c>
      <c r="G74" s="5">
        <v>7.59</v>
      </c>
      <c r="H74" s="4">
        <v>18.472759</v>
      </c>
      <c r="I74" s="4">
        <v>59.97</v>
      </c>
      <c r="J74" s="4">
        <v>55.42</v>
      </c>
    </row>
    <row r="75" spans="1:10" x14ac:dyDescent="0.2">
      <c r="A75" s="3">
        <v>20</v>
      </c>
      <c r="B75" s="3">
        <v>20</v>
      </c>
      <c r="C75" s="3">
        <v>146</v>
      </c>
      <c r="D75" t="s">
        <v>105</v>
      </c>
      <c r="E75" s="3">
        <v>2</v>
      </c>
      <c r="F75" s="4">
        <v>5.99</v>
      </c>
      <c r="G75" s="5">
        <v>2.95</v>
      </c>
      <c r="H75" s="4">
        <v>5.8132950000000001</v>
      </c>
      <c r="I75" s="4">
        <v>11.98</v>
      </c>
      <c r="J75" s="4">
        <v>11.63</v>
      </c>
    </row>
    <row r="76" spans="1:10" x14ac:dyDescent="0.2">
      <c r="A76" s="3">
        <v>20</v>
      </c>
      <c r="B76" s="3">
        <v>20</v>
      </c>
      <c r="C76" s="3">
        <v>89</v>
      </c>
      <c r="D76" t="s">
        <v>106</v>
      </c>
      <c r="E76" s="3">
        <v>3</v>
      </c>
      <c r="F76" s="4">
        <v>79.989999999999995</v>
      </c>
      <c r="G76" s="5">
        <v>18.04</v>
      </c>
      <c r="H76" s="4">
        <v>65.559804</v>
      </c>
      <c r="I76" s="4">
        <v>239.969999999999</v>
      </c>
      <c r="J76" s="4">
        <v>196.68</v>
      </c>
    </row>
    <row r="77" spans="1:10" x14ac:dyDescent="0.2">
      <c r="A77" s="3">
        <v>21</v>
      </c>
      <c r="B77" s="3">
        <v>21</v>
      </c>
      <c r="C77" s="3">
        <v>79</v>
      </c>
      <c r="D77" t="s">
        <v>107</v>
      </c>
      <c r="E77" s="3">
        <v>1</v>
      </c>
      <c r="F77" s="4">
        <v>1799.99</v>
      </c>
      <c r="G77" s="5">
        <v>11.14</v>
      </c>
      <c r="H77" s="4">
        <v>1599.4711140000002</v>
      </c>
      <c r="I77" s="4">
        <v>1799.99</v>
      </c>
      <c r="J77" s="4">
        <v>1599.47</v>
      </c>
    </row>
    <row r="78" spans="1:10" x14ac:dyDescent="0.2">
      <c r="A78" s="3">
        <v>21</v>
      </c>
      <c r="B78" s="3">
        <v>21</v>
      </c>
      <c r="C78" s="3">
        <v>164</v>
      </c>
      <c r="D78" t="s">
        <v>108</v>
      </c>
      <c r="E78" s="3">
        <v>4</v>
      </c>
      <c r="F78" s="4">
        <v>34.99</v>
      </c>
      <c r="G78" s="5">
        <v>14.28</v>
      </c>
      <c r="H78" s="4">
        <v>29.993428000000002</v>
      </c>
      <c r="I78" s="4">
        <v>139.96</v>
      </c>
      <c r="J78" s="4">
        <v>119.97</v>
      </c>
    </row>
    <row r="79" spans="1:10" x14ac:dyDescent="0.2">
      <c r="A79" s="3">
        <v>21</v>
      </c>
      <c r="B79" s="3">
        <v>21</v>
      </c>
      <c r="C79" s="3">
        <v>192</v>
      </c>
      <c r="D79" t="s">
        <v>63</v>
      </c>
      <c r="E79" s="3">
        <v>1</v>
      </c>
      <c r="F79" s="4">
        <v>10999.99</v>
      </c>
      <c r="G79" s="5">
        <v>15.94</v>
      </c>
      <c r="H79" s="4">
        <v>9246.5915939999995</v>
      </c>
      <c r="I79" s="4">
        <v>10999.99</v>
      </c>
      <c r="J79" s="4">
        <v>9246.59</v>
      </c>
    </row>
    <row r="80" spans="1:10" x14ac:dyDescent="0.2">
      <c r="A80" s="3">
        <v>22</v>
      </c>
      <c r="B80" s="3">
        <v>22</v>
      </c>
      <c r="C80" s="3">
        <v>16</v>
      </c>
      <c r="D80" t="s">
        <v>109</v>
      </c>
      <c r="E80" s="3">
        <v>4</v>
      </c>
      <c r="F80" s="4">
        <v>1.99</v>
      </c>
      <c r="G80" s="5">
        <v>12.62</v>
      </c>
      <c r="H80" s="4">
        <v>1.7388620000000001</v>
      </c>
      <c r="I80" s="4">
        <v>7.96</v>
      </c>
      <c r="J80" s="4">
        <v>6.96</v>
      </c>
    </row>
    <row r="81" spans="1:10" x14ac:dyDescent="0.2">
      <c r="A81" s="3">
        <v>22</v>
      </c>
      <c r="B81" s="3">
        <v>22</v>
      </c>
      <c r="C81" s="3">
        <v>92</v>
      </c>
      <c r="D81" t="s">
        <v>60</v>
      </c>
      <c r="E81" s="3">
        <v>2</v>
      </c>
      <c r="F81" s="4">
        <v>109.99</v>
      </c>
      <c r="G81" s="5">
        <v>0.04</v>
      </c>
      <c r="H81" s="4">
        <v>109.946004</v>
      </c>
      <c r="I81" s="4">
        <v>219.98</v>
      </c>
      <c r="J81" s="4">
        <v>219.89</v>
      </c>
    </row>
    <row r="82" spans="1:10" x14ac:dyDescent="0.2">
      <c r="A82" s="3">
        <v>22</v>
      </c>
      <c r="B82" s="3">
        <v>22</v>
      </c>
      <c r="C82" s="3">
        <v>166</v>
      </c>
      <c r="D82" t="s">
        <v>110</v>
      </c>
      <c r="E82" s="3">
        <v>2</v>
      </c>
      <c r="F82" s="4">
        <v>39.99</v>
      </c>
      <c r="G82" s="5">
        <v>12.95</v>
      </c>
      <c r="H82" s="4">
        <v>34.811295000000001</v>
      </c>
      <c r="I82" s="4">
        <v>79.98</v>
      </c>
      <c r="J82" s="4">
        <v>69.62</v>
      </c>
    </row>
    <row r="83" spans="1:10" x14ac:dyDescent="0.2">
      <c r="A83" s="3">
        <v>23</v>
      </c>
      <c r="B83" s="3">
        <v>23</v>
      </c>
      <c r="C83" s="3">
        <v>127</v>
      </c>
      <c r="D83" t="s">
        <v>111</v>
      </c>
      <c r="E83" s="3">
        <v>5</v>
      </c>
      <c r="F83" s="4">
        <v>299.99</v>
      </c>
      <c r="G83" s="5">
        <v>18.29</v>
      </c>
      <c r="H83" s="4">
        <v>245.12182900000002</v>
      </c>
      <c r="I83" s="4">
        <v>1499.95</v>
      </c>
      <c r="J83" s="4">
        <v>1225.6099999999999</v>
      </c>
    </row>
    <row r="84" spans="1:10" x14ac:dyDescent="0.2">
      <c r="A84" s="3">
        <v>23</v>
      </c>
      <c r="B84" s="3">
        <v>23</v>
      </c>
      <c r="C84" s="3">
        <v>134</v>
      </c>
      <c r="D84" t="s">
        <v>112</v>
      </c>
      <c r="E84" s="3">
        <v>4</v>
      </c>
      <c r="F84" s="4">
        <v>249.99</v>
      </c>
      <c r="G84" s="5">
        <v>10.17</v>
      </c>
      <c r="H84" s="4">
        <v>224.56601700000002</v>
      </c>
      <c r="I84" s="4">
        <v>999.96</v>
      </c>
      <c r="J84" s="4">
        <v>898.26</v>
      </c>
    </row>
    <row r="85" spans="1:10" x14ac:dyDescent="0.2">
      <c r="A85" s="3">
        <v>24</v>
      </c>
      <c r="B85" s="3">
        <v>24</v>
      </c>
      <c r="C85" s="3">
        <v>117</v>
      </c>
      <c r="D85" t="s">
        <v>83</v>
      </c>
      <c r="E85" s="3">
        <v>4</v>
      </c>
      <c r="F85" s="4">
        <v>7499.99</v>
      </c>
      <c r="G85" s="5">
        <v>11.58</v>
      </c>
      <c r="H85" s="4">
        <v>6631.4911579999998</v>
      </c>
      <c r="I85" s="4">
        <v>29999.96</v>
      </c>
      <c r="J85" s="4">
        <v>26525.96</v>
      </c>
    </row>
    <row r="86" spans="1:10" x14ac:dyDescent="0.2">
      <c r="A86" s="3">
        <v>24</v>
      </c>
      <c r="B86" s="3">
        <v>24</v>
      </c>
      <c r="C86" s="3">
        <v>128</v>
      </c>
      <c r="D86" t="s">
        <v>113</v>
      </c>
      <c r="E86" s="3">
        <v>2</v>
      </c>
      <c r="F86" s="4">
        <v>149.99</v>
      </c>
      <c r="G86" s="5">
        <v>15.3</v>
      </c>
      <c r="H86" s="4">
        <v>127.04153000000001</v>
      </c>
      <c r="I86" s="4">
        <v>299.98</v>
      </c>
      <c r="J86" s="4">
        <v>254.08</v>
      </c>
    </row>
    <row r="87" spans="1:10" x14ac:dyDescent="0.2">
      <c r="A87" s="3">
        <v>25</v>
      </c>
      <c r="B87" s="3">
        <v>25</v>
      </c>
      <c r="C87" s="3">
        <v>32</v>
      </c>
      <c r="D87" t="s">
        <v>114</v>
      </c>
      <c r="E87" s="3">
        <v>2</v>
      </c>
      <c r="F87" s="4">
        <v>3.49</v>
      </c>
      <c r="G87" s="5">
        <v>13.74</v>
      </c>
      <c r="H87" s="4">
        <v>3.0104740000000003</v>
      </c>
      <c r="I87" s="4">
        <v>6.98</v>
      </c>
      <c r="J87" s="4">
        <v>6.02</v>
      </c>
    </row>
    <row r="88" spans="1:10" x14ac:dyDescent="0.2">
      <c r="A88" s="3">
        <v>25</v>
      </c>
      <c r="B88" s="3">
        <v>25</v>
      </c>
      <c r="C88" s="3">
        <v>106</v>
      </c>
      <c r="D88" t="s">
        <v>75</v>
      </c>
      <c r="E88" s="3">
        <v>3</v>
      </c>
      <c r="F88" s="4">
        <v>349.99</v>
      </c>
      <c r="G88" s="5">
        <v>12.02</v>
      </c>
      <c r="H88" s="4">
        <v>307.92120199999999</v>
      </c>
      <c r="I88" s="4">
        <v>1049.97</v>
      </c>
      <c r="J88" s="4">
        <v>923.76</v>
      </c>
    </row>
    <row r="89" spans="1:10" x14ac:dyDescent="0.2">
      <c r="A89" s="3">
        <v>25</v>
      </c>
      <c r="B89" s="3">
        <v>25</v>
      </c>
      <c r="C89" s="3">
        <v>35</v>
      </c>
      <c r="D89" t="s">
        <v>86</v>
      </c>
      <c r="E89" s="3">
        <v>5</v>
      </c>
      <c r="F89" s="4">
        <v>2.29</v>
      </c>
      <c r="G89" s="5">
        <v>5.38</v>
      </c>
      <c r="H89" s="4">
        <v>2.166798</v>
      </c>
      <c r="I89" s="4">
        <v>11.45</v>
      </c>
      <c r="J89" s="4">
        <v>10.83</v>
      </c>
    </row>
    <row r="90" spans="1:10" x14ac:dyDescent="0.2">
      <c r="A90" s="3">
        <v>25</v>
      </c>
      <c r="B90" s="3">
        <v>25</v>
      </c>
      <c r="C90" s="3">
        <v>110</v>
      </c>
      <c r="D90" t="s">
        <v>115</v>
      </c>
      <c r="E90" s="3">
        <v>4</v>
      </c>
      <c r="F90" s="4">
        <v>14.99</v>
      </c>
      <c r="G90" s="5">
        <v>19.399999999999999</v>
      </c>
      <c r="H90" s="4">
        <v>12.081940000000001</v>
      </c>
      <c r="I90" s="4">
        <v>59.96</v>
      </c>
      <c r="J90" s="4">
        <v>48.33</v>
      </c>
    </row>
    <row r="91" spans="1:10" x14ac:dyDescent="0.2">
      <c r="A91" s="3">
        <v>25</v>
      </c>
      <c r="B91" s="3">
        <v>25</v>
      </c>
      <c r="C91" s="3">
        <v>103</v>
      </c>
      <c r="D91" t="s">
        <v>116</v>
      </c>
      <c r="E91" s="3">
        <v>1</v>
      </c>
      <c r="F91" s="4">
        <v>99.99</v>
      </c>
      <c r="G91" s="5">
        <v>18.100000000000001</v>
      </c>
      <c r="H91" s="4">
        <v>81.891809999999992</v>
      </c>
      <c r="I91" s="4">
        <v>99.99</v>
      </c>
      <c r="J91" s="4">
        <v>81.89</v>
      </c>
    </row>
    <row r="92" spans="1:10" x14ac:dyDescent="0.2">
      <c r="A92" s="3">
        <v>26</v>
      </c>
      <c r="B92" s="3">
        <v>26</v>
      </c>
      <c r="C92" s="3">
        <v>122</v>
      </c>
      <c r="D92" t="s">
        <v>52</v>
      </c>
      <c r="E92" s="3">
        <v>3</v>
      </c>
      <c r="F92" s="4">
        <v>299.99</v>
      </c>
      <c r="G92" s="5">
        <v>6.69</v>
      </c>
      <c r="H92" s="4">
        <v>279.92066900000003</v>
      </c>
      <c r="I92" s="4">
        <v>899.97</v>
      </c>
      <c r="J92" s="4">
        <v>839.76</v>
      </c>
    </row>
    <row r="93" spans="1:10" x14ac:dyDescent="0.2">
      <c r="A93" s="3">
        <v>26</v>
      </c>
      <c r="B93" s="3">
        <v>26</v>
      </c>
      <c r="C93" s="3">
        <v>63</v>
      </c>
      <c r="D93" t="s">
        <v>117</v>
      </c>
      <c r="E93" s="3">
        <v>4</v>
      </c>
      <c r="F93" s="4">
        <v>7.99</v>
      </c>
      <c r="G93" s="5">
        <v>18.91</v>
      </c>
      <c r="H93" s="4">
        <v>6.4790909999999995</v>
      </c>
      <c r="I93" s="4">
        <v>31.96</v>
      </c>
      <c r="J93" s="4">
        <v>25.92</v>
      </c>
    </row>
    <row r="94" spans="1:10" x14ac:dyDescent="0.2">
      <c r="A94" s="3">
        <v>26</v>
      </c>
      <c r="B94" s="3">
        <v>26</v>
      </c>
      <c r="C94" s="3">
        <v>108</v>
      </c>
      <c r="D94" t="s">
        <v>74</v>
      </c>
      <c r="E94" s="3">
        <v>4</v>
      </c>
      <c r="F94" s="4">
        <v>29.99</v>
      </c>
      <c r="G94" s="5">
        <v>13.85</v>
      </c>
      <c r="H94" s="4">
        <v>25.836385</v>
      </c>
      <c r="I94" s="4">
        <v>119.96</v>
      </c>
      <c r="J94" s="4">
        <v>103.35</v>
      </c>
    </row>
    <row r="95" spans="1:10" x14ac:dyDescent="0.2">
      <c r="A95" s="3">
        <v>26</v>
      </c>
      <c r="B95" s="3">
        <v>26</v>
      </c>
      <c r="C95" s="3">
        <v>153</v>
      </c>
      <c r="D95" t="s">
        <v>118</v>
      </c>
      <c r="E95" s="3">
        <v>5</v>
      </c>
      <c r="F95" s="4">
        <v>11.99</v>
      </c>
      <c r="G95" s="5">
        <v>12.25</v>
      </c>
      <c r="H95" s="4">
        <v>10.521224999999999</v>
      </c>
      <c r="I95" s="4">
        <v>59.95</v>
      </c>
      <c r="J95" s="4">
        <v>52.61</v>
      </c>
    </row>
    <row r="96" spans="1:10" x14ac:dyDescent="0.2">
      <c r="A96" s="3">
        <v>27</v>
      </c>
      <c r="B96" s="3">
        <v>27</v>
      </c>
      <c r="C96" s="3">
        <v>192</v>
      </c>
      <c r="D96" t="s">
        <v>63</v>
      </c>
      <c r="E96" s="3">
        <v>4</v>
      </c>
      <c r="F96" s="4">
        <v>10999.99</v>
      </c>
      <c r="G96" s="5">
        <v>15.94</v>
      </c>
      <c r="H96" s="4">
        <v>9246.5915939999995</v>
      </c>
      <c r="I96" s="4">
        <v>43999.96</v>
      </c>
      <c r="J96" s="4">
        <v>36986.370000000003</v>
      </c>
    </row>
    <row r="97" spans="1:10" x14ac:dyDescent="0.2">
      <c r="A97" s="3">
        <v>27</v>
      </c>
      <c r="B97" s="3">
        <v>27</v>
      </c>
      <c r="C97" s="3">
        <v>97</v>
      </c>
      <c r="D97" t="s">
        <v>101</v>
      </c>
      <c r="E97" s="3">
        <v>5</v>
      </c>
      <c r="F97" s="4">
        <v>10999.99</v>
      </c>
      <c r="G97" s="5">
        <v>3.73</v>
      </c>
      <c r="H97" s="4">
        <v>10589.690372999999</v>
      </c>
      <c r="I97" s="4">
        <v>54999.95</v>
      </c>
      <c r="J97" s="4">
        <v>52948.45</v>
      </c>
    </row>
    <row r="98" spans="1:10" x14ac:dyDescent="0.2">
      <c r="A98" s="3">
        <v>27</v>
      </c>
      <c r="B98" s="3">
        <v>27</v>
      </c>
      <c r="C98" s="3">
        <v>20</v>
      </c>
      <c r="D98" t="s">
        <v>94</v>
      </c>
      <c r="E98" s="3">
        <v>3</v>
      </c>
      <c r="F98" s="4">
        <v>4.99</v>
      </c>
      <c r="G98" s="5">
        <v>9.33</v>
      </c>
      <c r="H98" s="4">
        <v>4.5244330000000001</v>
      </c>
      <c r="I98" s="4">
        <v>14.97</v>
      </c>
      <c r="J98" s="4">
        <v>13.57</v>
      </c>
    </row>
    <row r="99" spans="1:10" x14ac:dyDescent="0.2">
      <c r="A99" s="3">
        <v>27</v>
      </c>
      <c r="B99" s="3">
        <v>27</v>
      </c>
      <c r="C99" s="3">
        <v>113</v>
      </c>
      <c r="D99" t="s">
        <v>51</v>
      </c>
      <c r="E99" s="3">
        <v>3</v>
      </c>
      <c r="F99" s="4">
        <v>3999.99</v>
      </c>
      <c r="G99" s="5">
        <v>12.1</v>
      </c>
      <c r="H99" s="4">
        <v>3515.9912099999997</v>
      </c>
      <c r="I99" s="4">
        <v>11999.97</v>
      </c>
      <c r="J99" s="4">
        <v>10547.97</v>
      </c>
    </row>
    <row r="100" spans="1:10" x14ac:dyDescent="0.2">
      <c r="A100" s="3">
        <v>28</v>
      </c>
      <c r="B100" s="3">
        <v>28</v>
      </c>
      <c r="C100" s="3">
        <v>182</v>
      </c>
      <c r="D100" t="s">
        <v>119</v>
      </c>
      <c r="E100" s="3">
        <v>5</v>
      </c>
      <c r="F100" s="4">
        <v>29.99</v>
      </c>
      <c r="G100" s="5">
        <v>15.24</v>
      </c>
      <c r="H100" s="4">
        <v>25.419523999999999</v>
      </c>
      <c r="I100" s="4">
        <v>149.94999999999999</v>
      </c>
      <c r="J100" s="4">
        <v>127.1</v>
      </c>
    </row>
    <row r="101" spans="1:10" x14ac:dyDescent="0.2">
      <c r="A101" s="3">
        <v>28</v>
      </c>
      <c r="B101" s="3">
        <v>28</v>
      </c>
      <c r="C101" s="3">
        <v>64</v>
      </c>
      <c r="D101" t="s">
        <v>120</v>
      </c>
      <c r="E101" s="3">
        <v>2</v>
      </c>
      <c r="F101" s="4">
        <v>14.99</v>
      </c>
      <c r="G101" s="5">
        <v>18.86</v>
      </c>
      <c r="H101" s="4">
        <v>12.162886</v>
      </c>
      <c r="I101" s="4">
        <v>29.98</v>
      </c>
      <c r="J101" s="4">
        <v>24.33</v>
      </c>
    </row>
    <row r="102" spans="1:10" x14ac:dyDescent="0.2">
      <c r="A102" s="3">
        <v>28</v>
      </c>
      <c r="B102" s="3">
        <v>28</v>
      </c>
      <c r="C102" s="3">
        <v>46</v>
      </c>
      <c r="D102" t="s">
        <v>121</v>
      </c>
      <c r="E102" s="3">
        <v>3</v>
      </c>
      <c r="F102" s="4">
        <v>14.99</v>
      </c>
      <c r="G102" s="5">
        <v>6.84</v>
      </c>
      <c r="H102" s="4">
        <v>13.964684</v>
      </c>
      <c r="I102" s="4">
        <v>44.97</v>
      </c>
      <c r="J102" s="4">
        <v>41.89</v>
      </c>
    </row>
    <row r="103" spans="1:10" x14ac:dyDescent="0.2">
      <c r="A103" s="3">
        <v>28</v>
      </c>
      <c r="B103" s="3">
        <v>28</v>
      </c>
      <c r="C103" s="3">
        <v>185</v>
      </c>
      <c r="D103" t="s">
        <v>122</v>
      </c>
      <c r="E103" s="3">
        <v>5</v>
      </c>
      <c r="F103" s="4">
        <v>19.989999999999998</v>
      </c>
      <c r="G103" s="5">
        <v>3.33</v>
      </c>
      <c r="H103" s="4">
        <v>19.324332999999999</v>
      </c>
      <c r="I103" s="4">
        <v>99.949999999999903</v>
      </c>
      <c r="J103" s="4">
        <v>96.62</v>
      </c>
    </row>
    <row r="104" spans="1:10" x14ac:dyDescent="0.2">
      <c r="A104" s="3">
        <v>28</v>
      </c>
      <c r="B104" s="3">
        <v>28</v>
      </c>
      <c r="C104" s="3">
        <v>175</v>
      </c>
      <c r="D104" t="s">
        <v>123</v>
      </c>
      <c r="E104" s="3">
        <v>3</v>
      </c>
      <c r="F104" s="4">
        <v>39.99</v>
      </c>
      <c r="G104" s="5">
        <v>15.2</v>
      </c>
      <c r="H104" s="4">
        <v>33.911520000000003</v>
      </c>
      <c r="I104" s="4">
        <v>119.97</v>
      </c>
      <c r="J104" s="4">
        <v>101.73</v>
      </c>
    </row>
    <row r="105" spans="1:10" x14ac:dyDescent="0.2">
      <c r="A105" s="3">
        <v>28</v>
      </c>
      <c r="B105" s="3">
        <v>28</v>
      </c>
      <c r="C105" s="3">
        <v>81</v>
      </c>
      <c r="D105" t="s">
        <v>124</v>
      </c>
      <c r="E105" s="3">
        <v>5</v>
      </c>
      <c r="F105" s="4">
        <v>1099.99</v>
      </c>
      <c r="G105" s="5">
        <v>6.55</v>
      </c>
      <c r="H105" s="4">
        <v>1027.9406550000001</v>
      </c>
      <c r="I105" s="4">
        <v>5499.95</v>
      </c>
      <c r="J105" s="4">
        <v>5139.7</v>
      </c>
    </row>
    <row r="106" spans="1:10" x14ac:dyDescent="0.2">
      <c r="A106" s="3">
        <v>29</v>
      </c>
      <c r="B106" s="3">
        <v>29</v>
      </c>
      <c r="C106" s="3">
        <v>174</v>
      </c>
      <c r="D106" t="s">
        <v>125</v>
      </c>
      <c r="E106" s="3">
        <v>3</v>
      </c>
      <c r="F106" s="4">
        <v>599.99</v>
      </c>
      <c r="G106" s="5">
        <v>14.09</v>
      </c>
      <c r="H106" s="4">
        <v>515.45140900000001</v>
      </c>
      <c r="I106" s="4">
        <v>1799.97</v>
      </c>
      <c r="J106" s="4">
        <v>1546.35</v>
      </c>
    </row>
    <row r="107" spans="1:10" x14ac:dyDescent="0.2">
      <c r="A107" s="3">
        <v>29</v>
      </c>
      <c r="B107" s="3">
        <v>29</v>
      </c>
      <c r="C107" s="3">
        <v>102</v>
      </c>
      <c r="D107" t="s">
        <v>126</v>
      </c>
      <c r="E107" s="3">
        <v>5</v>
      </c>
      <c r="F107" s="4">
        <v>79.989999999999995</v>
      </c>
      <c r="G107" s="5">
        <v>4.4800000000000004</v>
      </c>
      <c r="H107" s="4">
        <v>76.406447999999997</v>
      </c>
      <c r="I107" s="4">
        <v>399.95</v>
      </c>
      <c r="J107" s="4">
        <v>382.03</v>
      </c>
    </row>
    <row r="108" spans="1:10" x14ac:dyDescent="0.2">
      <c r="A108" s="3">
        <v>29</v>
      </c>
      <c r="B108" s="3">
        <v>29</v>
      </c>
      <c r="C108" s="3">
        <v>48</v>
      </c>
      <c r="D108" t="s">
        <v>127</v>
      </c>
      <c r="E108" s="3">
        <v>5</v>
      </c>
      <c r="F108" s="4">
        <v>7.99</v>
      </c>
      <c r="G108" s="5">
        <v>2.84</v>
      </c>
      <c r="H108" s="4">
        <v>7.7630840000000001</v>
      </c>
      <c r="I108" s="4">
        <v>39.950000000000003</v>
      </c>
      <c r="J108" s="4">
        <v>38.82</v>
      </c>
    </row>
    <row r="109" spans="1:10" x14ac:dyDescent="0.2">
      <c r="A109" s="3">
        <v>29</v>
      </c>
      <c r="B109" s="3">
        <v>29</v>
      </c>
      <c r="C109" s="3">
        <v>141</v>
      </c>
      <c r="D109" t="s">
        <v>93</v>
      </c>
      <c r="E109" s="3">
        <v>3</v>
      </c>
      <c r="F109" s="4">
        <v>39.99</v>
      </c>
      <c r="G109" s="5">
        <v>7.74</v>
      </c>
      <c r="H109" s="4">
        <v>36.894773999999998</v>
      </c>
      <c r="I109" s="4">
        <v>119.97</v>
      </c>
      <c r="J109" s="4">
        <v>110.68</v>
      </c>
    </row>
    <row r="110" spans="1:10" x14ac:dyDescent="0.2">
      <c r="A110" s="3">
        <v>30</v>
      </c>
      <c r="B110" s="3">
        <v>30</v>
      </c>
      <c r="C110" s="3">
        <v>143</v>
      </c>
      <c r="D110" t="s">
        <v>128</v>
      </c>
      <c r="E110" s="3">
        <v>1</v>
      </c>
      <c r="F110" s="4">
        <v>29.99</v>
      </c>
      <c r="G110" s="5">
        <v>3.29</v>
      </c>
      <c r="H110" s="4">
        <v>29.003328999999997</v>
      </c>
      <c r="I110" s="4">
        <v>29.99</v>
      </c>
      <c r="J110" s="4">
        <v>29</v>
      </c>
    </row>
    <row r="111" spans="1:10" x14ac:dyDescent="0.2">
      <c r="A111" s="3">
        <v>30</v>
      </c>
      <c r="B111" s="3">
        <v>30</v>
      </c>
      <c r="C111" s="3">
        <v>135</v>
      </c>
      <c r="D111" t="s">
        <v>129</v>
      </c>
      <c r="E111" s="3">
        <v>2</v>
      </c>
      <c r="F111" s="4">
        <v>299.99</v>
      </c>
      <c r="G111" s="5">
        <v>17.670000000000002</v>
      </c>
      <c r="H111" s="4">
        <v>246.98176699999999</v>
      </c>
      <c r="I111" s="4">
        <v>599.98</v>
      </c>
      <c r="J111" s="4">
        <v>493.96</v>
      </c>
    </row>
    <row r="112" spans="1:10" x14ac:dyDescent="0.2">
      <c r="A112" s="3">
        <v>30</v>
      </c>
      <c r="B112" s="3">
        <v>30</v>
      </c>
      <c r="C112" s="3">
        <v>126</v>
      </c>
      <c r="D112" t="s">
        <v>130</v>
      </c>
      <c r="E112" s="3">
        <v>1</v>
      </c>
      <c r="F112" s="4">
        <v>399.99</v>
      </c>
      <c r="G112" s="5">
        <v>18.64</v>
      </c>
      <c r="H112" s="4">
        <v>325.43186400000002</v>
      </c>
      <c r="I112" s="4">
        <v>399.99</v>
      </c>
      <c r="J112" s="4">
        <v>325.43</v>
      </c>
    </row>
    <row r="113" spans="1:10" x14ac:dyDescent="0.2">
      <c r="A113" s="3">
        <v>30</v>
      </c>
      <c r="B113" s="3">
        <v>30</v>
      </c>
      <c r="C113" s="3">
        <v>77</v>
      </c>
      <c r="D113" t="s">
        <v>131</v>
      </c>
      <c r="E113" s="3">
        <v>1</v>
      </c>
      <c r="F113" s="4">
        <v>5.99</v>
      </c>
      <c r="G113" s="5">
        <v>12.48</v>
      </c>
      <c r="H113" s="4">
        <v>5.2424480000000004</v>
      </c>
      <c r="I113" s="4">
        <v>5.99</v>
      </c>
      <c r="J113" s="4">
        <v>5.24</v>
      </c>
    </row>
    <row r="114" spans="1:10" x14ac:dyDescent="0.2">
      <c r="A114" s="3">
        <v>30</v>
      </c>
      <c r="B114" s="3">
        <v>30</v>
      </c>
      <c r="C114" s="3">
        <v>3</v>
      </c>
      <c r="D114" t="s">
        <v>16</v>
      </c>
      <c r="E114" s="3">
        <v>5</v>
      </c>
      <c r="F114" s="4">
        <v>14.99</v>
      </c>
      <c r="G114" s="5">
        <v>9.84</v>
      </c>
      <c r="H114" s="4">
        <v>13.514984</v>
      </c>
      <c r="I114" s="4">
        <v>74.95</v>
      </c>
      <c r="J114" s="4">
        <v>67.569999999999993</v>
      </c>
    </row>
    <row r="115" spans="1:10" x14ac:dyDescent="0.2">
      <c r="A115" s="3">
        <v>30</v>
      </c>
      <c r="B115" s="3">
        <v>30</v>
      </c>
      <c r="C115" s="3">
        <v>170</v>
      </c>
      <c r="D115" t="s">
        <v>132</v>
      </c>
      <c r="E115" s="3">
        <v>5</v>
      </c>
      <c r="F115" s="4">
        <v>36999.99</v>
      </c>
      <c r="G115" s="5">
        <v>16.440000000000001</v>
      </c>
      <c r="H115" s="4">
        <v>30917.191643999999</v>
      </c>
      <c r="I115" s="4">
        <v>184999.94999999899</v>
      </c>
      <c r="J115" s="4">
        <v>154585.96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43AA-6598-5141-BDCD-72550C7DAC5C}">
  <sheetPr codeName="Sheet1"/>
  <dimension ref="A1:P31"/>
  <sheetViews>
    <sheetView workbookViewId="0">
      <selection activeCell="H18" sqref="H18"/>
    </sheetView>
  </sheetViews>
  <sheetFormatPr baseColWidth="10" defaultRowHeight="16" x14ac:dyDescent="0.2"/>
  <cols>
    <col min="1" max="1" width="12.1640625" customWidth="1"/>
    <col min="2" max="2" width="26.83203125" bestFit="1" customWidth="1"/>
    <col min="3" max="3" width="11" customWidth="1"/>
    <col min="4" max="4" width="7.83203125" style="8" customWidth="1"/>
    <col min="5" max="5" width="12.83203125" customWidth="1"/>
    <col min="6" max="6" width="8.83203125" customWidth="1"/>
    <col min="7" max="7" width="8.1640625" customWidth="1"/>
    <col min="8" max="8" width="15.1640625" bestFit="1" customWidth="1"/>
    <col min="9" max="9" width="17.1640625" bestFit="1" customWidth="1"/>
    <col min="11" max="11" width="9.33203125" customWidth="1"/>
    <col min="12" max="12" width="9.5" customWidth="1"/>
    <col min="13" max="13" width="15.33203125" customWidth="1"/>
    <col min="14" max="14" width="14.83203125" customWidth="1"/>
    <col min="15" max="15" width="12.5" customWidth="1"/>
    <col min="16" max="16" width="17.33203125" customWidth="1"/>
  </cols>
  <sheetData>
    <row r="1" spans="1:16" x14ac:dyDescent="0.2">
      <c r="A1" s="1" t="s">
        <v>0</v>
      </c>
      <c r="B1" s="1" t="s">
        <v>1</v>
      </c>
      <c r="C1" s="1" t="s">
        <v>2</v>
      </c>
      <c r="D1" s="29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K1" s="1" t="s">
        <v>41</v>
      </c>
      <c r="L1" s="1" t="s">
        <v>42</v>
      </c>
      <c r="M1" s="1" t="s">
        <v>43</v>
      </c>
      <c r="N1" s="1" t="s">
        <v>44</v>
      </c>
      <c r="O1" s="1" t="s">
        <v>45</v>
      </c>
      <c r="P1" s="1" t="s">
        <v>46</v>
      </c>
    </row>
    <row r="2" spans="1:16" x14ac:dyDescent="0.2">
      <c r="A2">
        <v>1</v>
      </c>
      <c r="B2" t="s">
        <v>9</v>
      </c>
      <c r="C2" t="s">
        <v>10</v>
      </c>
      <c r="D2" s="8">
        <v>9.99</v>
      </c>
      <c r="E2">
        <v>10.48</v>
      </c>
      <c r="F2">
        <v>2.56</v>
      </c>
      <c r="G2">
        <v>99</v>
      </c>
      <c r="H2" t="s">
        <v>11</v>
      </c>
      <c r="I2" t="s">
        <v>12</v>
      </c>
      <c r="K2">
        <v>1</v>
      </c>
      <c r="L2">
        <v>1</v>
      </c>
      <c r="M2">
        <v>4</v>
      </c>
      <c r="N2">
        <v>12</v>
      </c>
      <c r="O2">
        <v>13037.88</v>
      </c>
      <c r="P2">
        <v>11510.81</v>
      </c>
    </row>
    <row r="3" spans="1:16" x14ac:dyDescent="0.2">
      <c r="A3">
        <v>2</v>
      </c>
      <c r="B3" t="s">
        <v>13</v>
      </c>
      <c r="C3" t="s">
        <v>10</v>
      </c>
      <c r="D3" s="8">
        <v>19.989999999999998</v>
      </c>
      <c r="E3">
        <v>18.190000000000001</v>
      </c>
      <c r="F3">
        <v>2.86</v>
      </c>
      <c r="G3">
        <v>34</v>
      </c>
      <c r="H3" t="s">
        <v>14</v>
      </c>
      <c r="I3" t="s">
        <v>15</v>
      </c>
      <c r="K3">
        <v>2</v>
      </c>
      <c r="L3">
        <v>2</v>
      </c>
      <c r="M3">
        <v>2</v>
      </c>
      <c r="N3">
        <v>7</v>
      </c>
      <c r="O3">
        <v>139.93</v>
      </c>
      <c r="P3">
        <v>125.7</v>
      </c>
    </row>
    <row r="4" spans="1:16" x14ac:dyDescent="0.2">
      <c r="A4">
        <v>3</v>
      </c>
      <c r="B4" t="s">
        <v>16</v>
      </c>
      <c r="C4" t="s">
        <v>10</v>
      </c>
      <c r="D4" s="8">
        <v>14.99</v>
      </c>
      <c r="E4">
        <v>9.84</v>
      </c>
      <c r="F4">
        <v>4.6399999999999997</v>
      </c>
      <c r="G4">
        <v>89</v>
      </c>
      <c r="H4" t="s">
        <v>17</v>
      </c>
      <c r="I4" t="s">
        <v>18</v>
      </c>
      <c r="K4">
        <v>3</v>
      </c>
      <c r="L4">
        <v>3</v>
      </c>
      <c r="M4">
        <v>6</v>
      </c>
      <c r="N4">
        <v>15</v>
      </c>
      <c r="O4">
        <v>1794.85</v>
      </c>
      <c r="P4">
        <v>1625.77</v>
      </c>
    </row>
    <row r="5" spans="1:16" x14ac:dyDescent="0.2">
      <c r="A5">
        <v>4</v>
      </c>
      <c r="B5" t="s">
        <v>19</v>
      </c>
      <c r="C5" t="s">
        <v>10</v>
      </c>
      <c r="D5" s="8">
        <v>12.99</v>
      </c>
      <c r="E5">
        <v>12.16</v>
      </c>
      <c r="F5">
        <v>4.3600000000000003</v>
      </c>
      <c r="G5">
        <v>91</v>
      </c>
      <c r="H5" t="s">
        <v>20</v>
      </c>
      <c r="I5" t="s">
        <v>21</v>
      </c>
      <c r="K5">
        <v>4</v>
      </c>
      <c r="L5">
        <v>4</v>
      </c>
      <c r="M5">
        <v>2</v>
      </c>
      <c r="N5">
        <v>7</v>
      </c>
      <c r="O5">
        <v>689.93</v>
      </c>
      <c r="P5">
        <v>636.80999999999995</v>
      </c>
    </row>
    <row r="6" spans="1:16" x14ac:dyDescent="0.2">
      <c r="A6">
        <v>5</v>
      </c>
      <c r="B6" t="s">
        <v>22</v>
      </c>
      <c r="C6" t="s">
        <v>10</v>
      </c>
      <c r="D6" s="8">
        <v>8.99</v>
      </c>
      <c r="E6">
        <v>11.44</v>
      </c>
      <c r="F6">
        <v>4.32</v>
      </c>
      <c r="G6">
        <v>79</v>
      </c>
      <c r="H6" t="s">
        <v>23</v>
      </c>
      <c r="I6" t="s">
        <v>24</v>
      </c>
      <c r="K6">
        <v>5</v>
      </c>
      <c r="L6">
        <v>5</v>
      </c>
      <c r="M6">
        <v>3</v>
      </c>
      <c r="N6">
        <v>12</v>
      </c>
      <c r="O6">
        <v>1467.88</v>
      </c>
      <c r="P6">
        <v>1205.8</v>
      </c>
    </row>
    <row r="7" spans="1:16" x14ac:dyDescent="0.2">
      <c r="A7">
        <v>6</v>
      </c>
      <c r="B7" t="s">
        <v>25</v>
      </c>
      <c r="C7" t="s">
        <v>26</v>
      </c>
      <c r="D7" s="8">
        <v>49.99</v>
      </c>
      <c r="E7">
        <v>1.89</v>
      </c>
      <c r="F7">
        <v>4.37</v>
      </c>
      <c r="G7">
        <v>29</v>
      </c>
      <c r="H7" t="s">
        <v>27</v>
      </c>
      <c r="I7" t="s">
        <v>28</v>
      </c>
      <c r="K7">
        <v>6</v>
      </c>
      <c r="L7">
        <v>6</v>
      </c>
      <c r="M7">
        <v>4</v>
      </c>
      <c r="N7">
        <v>14</v>
      </c>
      <c r="O7">
        <v>55453.86</v>
      </c>
      <c r="P7">
        <v>46641.06</v>
      </c>
    </row>
    <row r="8" spans="1:16" x14ac:dyDescent="0.2">
      <c r="A8">
        <v>7</v>
      </c>
      <c r="B8" t="s">
        <v>29</v>
      </c>
      <c r="C8" t="s">
        <v>26</v>
      </c>
      <c r="D8" s="8">
        <v>129.99</v>
      </c>
      <c r="E8">
        <v>16.510000000000002</v>
      </c>
      <c r="F8">
        <v>4.26</v>
      </c>
      <c r="G8">
        <v>58</v>
      </c>
      <c r="H8" t="s">
        <v>30</v>
      </c>
      <c r="I8" t="s">
        <v>31</v>
      </c>
      <c r="K8">
        <v>7</v>
      </c>
      <c r="L8">
        <v>7</v>
      </c>
      <c r="M8">
        <v>6</v>
      </c>
      <c r="N8">
        <v>14</v>
      </c>
      <c r="O8">
        <v>1229.8599999999999</v>
      </c>
      <c r="P8">
        <v>1103.6500000000001</v>
      </c>
    </row>
    <row r="9" spans="1:16" x14ac:dyDescent="0.2">
      <c r="A9">
        <v>8</v>
      </c>
      <c r="B9" t="s">
        <v>32</v>
      </c>
      <c r="C9" t="s">
        <v>26</v>
      </c>
      <c r="D9" s="8">
        <v>89.99</v>
      </c>
      <c r="E9">
        <v>14.72</v>
      </c>
      <c r="F9">
        <v>3.8</v>
      </c>
      <c r="G9">
        <v>98</v>
      </c>
      <c r="H9" t="s">
        <v>33</v>
      </c>
      <c r="I9" t="s">
        <v>34</v>
      </c>
      <c r="K9">
        <v>8</v>
      </c>
      <c r="L9">
        <v>8</v>
      </c>
      <c r="M9">
        <v>6</v>
      </c>
      <c r="N9">
        <v>17</v>
      </c>
      <c r="O9">
        <v>6337.83</v>
      </c>
      <c r="P9">
        <v>5771.32</v>
      </c>
    </row>
    <row r="10" spans="1:16" x14ac:dyDescent="0.2">
      <c r="A10">
        <v>9</v>
      </c>
      <c r="B10" t="s">
        <v>35</v>
      </c>
      <c r="C10" t="s">
        <v>26</v>
      </c>
      <c r="D10" s="8">
        <v>69.989999999999995</v>
      </c>
      <c r="E10">
        <v>0.62</v>
      </c>
      <c r="F10">
        <v>3.96</v>
      </c>
      <c r="G10">
        <v>4</v>
      </c>
      <c r="H10" t="s">
        <v>36</v>
      </c>
      <c r="I10" t="s">
        <v>37</v>
      </c>
      <c r="K10">
        <v>9</v>
      </c>
      <c r="L10">
        <v>9</v>
      </c>
      <c r="M10">
        <v>4</v>
      </c>
      <c r="N10">
        <v>10</v>
      </c>
      <c r="O10">
        <v>29709.9</v>
      </c>
      <c r="P10">
        <v>27993.46</v>
      </c>
    </row>
    <row r="11" spans="1:16" x14ac:dyDescent="0.2">
      <c r="A11">
        <v>10</v>
      </c>
      <c r="B11" t="s">
        <v>38</v>
      </c>
      <c r="C11" t="s">
        <v>26</v>
      </c>
      <c r="D11" s="8">
        <v>79.989999999999995</v>
      </c>
      <c r="E11">
        <v>14.39</v>
      </c>
      <c r="F11">
        <v>2.74</v>
      </c>
      <c r="G11">
        <v>91</v>
      </c>
      <c r="H11" t="s">
        <v>39</v>
      </c>
      <c r="I11" t="s">
        <v>40</v>
      </c>
      <c r="K11">
        <v>10</v>
      </c>
      <c r="L11">
        <v>10</v>
      </c>
      <c r="M11">
        <v>2</v>
      </c>
      <c r="N11">
        <v>6</v>
      </c>
      <c r="O11">
        <v>152.44</v>
      </c>
      <c r="P11">
        <v>131.34</v>
      </c>
    </row>
    <row r="12" spans="1:16" x14ac:dyDescent="0.2">
      <c r="K12">
        <v>11</v>
      </c>
      <c r="L12">
        <v>11</v>
      </c>
      <c r="M12">
        <v>5</v>
      </c>
      <c r="N12">
        <v>15</v>
      </c>
      <c r="O12">
        <v>61831.75</v>
      </c>
      <c r="P12">
        <v>57397.84</v>
      </c>
    </row>
    <row r="13" spans="1:16" x14ac:dyDescent="0.2">
      <c r="K13">
        <v>12</v>
      </c>
      <c r="L13">
        <v>12</v>
      </c>
      <c r="M13">
        <v>6</v>
      </c>
      <c r="N13">
        <v>18</v>
      </c>
      <c r="O13">
        <v>37767.32</v>
      </c>
      <c r="P13">
        <v>35410.79</v>
      </c>
    </row>
    <row r="14" spans="1:16" x14ac:dyDescent="0.2">
      <c r="K14">
        <v>13</v>
      </c>
      <c r="L14">
        <v>13</v>
      </c>
      <c r="M14">
        <v>2</v>
      </c>
      <c r="N14">
        <v>6</v>
      </c>
      <c r="O14">
        <v>16.54</v>
      </c>
      <c r="P14">
        <v>14.97</v>
      </c>
    </row>
    <row r="15" spans="1:16" x14ac:dyDescent="0.2">
      <c r="K15">
        <v>14</v>
      </c>
      <c r="L15">
        <v>14</v>
      </c>
      <c r="M15">
        <v>3</v>
      </c>
      <c r="N15">
        <v>10</v>
      </c>
      <c r="O15">
        <v>209.9</v>
      </c>
      <c r="P15">
        <v>184.59</v>
      </c>
    </row>
    <row r="16" spans="1:16" x14ac:dyDescent="0.2">
      <c r="K16">
        <v>15</v>
      </c>
      <c r="L16">
        <v>15</v>
      </c>
      <c r="M16">
        <v>3</v>
      </c>
      <c r="N16">
        <v>5</v>
      </c>
      <c r="O16">
        <v>249.95</v>
      </c>
      <c r="P16">
        <v>214.68</v>
      </c>
    </row>
    <row r="17" spans="11:16" x14ac:dyDescent="0.2">
      <c r="K17">
        <v>16</v>
      </c>
      <c r="L17">
        <v>16</v>
      </c>
      <c r="M17">
        <v>2</v>
      </c>
      <c r="N17">
        <v>8</v>
      </c>
      <c r="O17">
        <v>384.92</v>
      </c>
      <c r="P17">
        <v>364.7</v>
      </c>
    </row>
    <row r="18" spans="11:16" x14ac:dyDescent="0.2">
      <c r="K18">
        <v>17</v>
      </c>
      <c r="L18">
        <v>17</v>
      </c>
      <c r="M18">
        <v>4</v>
      </c>
      <c r="N18">
        <v>16</v>
      </c>
      <c r="O18">
        <v>5531.34</v>
      </c>
      <c r="P18">
        <v>5014.9399999999996</v>
      </c>
    </row>
    <row r="19" spans="11:16" x14ac:dyDescent="0.2">
      <c r="K19">
        <v>18</v>
      </c>
      <c r="L19">
        <v>18</v>
      </c>
      <c r="M19">
        <v>2</v>
      </c>
      <c r="N19">
        <v>10</v>
      </c>
      <c r="O19">
        <v>128999.9</v>
      </c>
      <c r="P19">
        <v>124978.81</v>
      </c>
    </row>
    <row r="20" spans="11:16" x14ac:dyDescent="0.2">
      <c r="K20">
        <v>19</v>
      </c>
      <c r="L20">
        <v>19</v>
      </c>
      <c r="M20">
        <v>5</v>
      </c>
      <c r="N20">
        <v>12</v>
      </c>
      <c r="O20">
        <v>22142.880000000001</v>
      </c>
      <c r="P20">
        <v>21308.13</v>
      </c>
    </row>
    <row r="21" spans="11:16" x14ac:dyDescent="0.2">
      <c r="K21">
        <v>20</v>
      </c>
      <c r="L21">
        <v>20</v>
      </c>
      <c r="M21">
        <v>4</v>
      </c>
      <c r="N21">
        <v>12</v>
      </c>
      <c r="O21">
        <v>4711.88</v>
      </c>
      <c r="P21">
        <v>4251.41</v>
      </c>
    </row>
    <row r="22" spans="11:16" x14ac:dyDescent="0.2">
      <c r="K22">
        <v>21</v>
      </c>
      <c r="L22">
        <v>21</v>
      </c>
      <c r="M22">
        <v>3</v>
      </c>
      <c r="N22">
        <v>6</v>
      </c>
      <c r="O22">
        <v>12939.94</v>
      </c>
      <c r="P22">
        <v>10966.03</v>
      </c>
    </row>
    <row r="23" spans="11:16" x14ac:dyDescent="0.2">
      <c r="K23">
        <v>22</v>
      </c>
      <c r="L23">
        <v>22</v>
      </c>
      <c r="M23">
        <v>3</v>
      </c>
      <c r="N23">
        <v>8</v>
      </c>
      <c r="O23">
        <v>307.92</v>
      </c>
      <c r="P23">
        <v>296.47000000000003</v>
      </c>
    </row>
    <row r="24" spans="11:16" x14ac:dyDescent="0.2">
      <c r="K24">
        <v>23</v>
      </c>
      <c r="L24">
        <v>23</v>
      </c>
      <c r="M24">
        <v>2</v>
      </c>
      <c r="N24">
        <v>9</v>
      </c>
      <c r="O24">
        <v>2499.91</v>
      </c>
      <c r="P24">
        <v>2123.87</v>
      </c>
    </row>
    <row r="25" spans="11:16" x14ac:dyDescent="0.2">
      <c r="K25">
        <v>24</v>
      </c>
      <c r="L25">
        <v>24</v>
      </c>
      <c r="M25">
        <v>2</v>
      </c>
      <c r="N25">
        <v>6</v>
      </c>
      <c r="O25">
        <v>30299.94</v>
      </c>
      <c r="P25">
        <v>26780.04</v>
      </c>
    </row>
    <row r="26" spans="11:16" x14ac:dyDescent="0.2">
      <c r="K26">
        <v>25</v>
      </c>
      <c r="L26">
        <v>25</v>
      </c>
      <c r="M26">
        <v>5</v>
      </c>
      <c r="N26">
        <v>15</v>
      </c>
      <c r="O26">
        <v>1228.3499999999999</v>
      </c>
      <c r="P26">
        <v>1070.83</v>
      </c>
    </row>
    <row r="27" spans="11:16" x14ac:dyDescent="0.2">
      <c r="K27">
        <v>26</v>
      </c>
      <c r="L27">
        <v>26</v>
      </c>
      <c r="M27">
        <v>4</v>
      </c>
      <c r="N27">
        <v>16</v>
      </c>
      <c r="O27">
        <v>1111.8399999999999</v>
      </c>
      <c r="P27">
        <v>1021.64</v>
      </c>
    </row>
    <row r="28" spans="11:16" x14ac:dyDescent="0.2">
      <c r="K28">
        <v>27</v>
      </c>
      <c r="L28">
        <v>27</v>
      </c>
      <c r="M28">
        <v>4</v>
      </c>
      <c r="N28">
        <v>15</v>
      </c>
      <c r="O28">
        <v>111014.85</v>
      </c>
      <c r="P28">
        <v>100496.36</v>
      </c>
    </row>
    <row r="29" spans="11:16" x14ac:dyDescent="0.2">
      <c r="K29">
        <v>28</v>
      </c>
      <c r="L29">
        <v>28</v>
      </c>
      <c r="M29">
        <v>6</v>
      </c>
      <c r="N29">
        <v>23</v>
      </c>
      <c r="O29">
        <v>5944.77</v>
      </c>
      <c r="P29">
        <v>5531.37</v>
      </c>
    </row>
    <row r="30" spans="11:16" x14ac:dyDescent="0.2">
      <c r="K30">
        <v>29</v>
      </c>
      <c r="L30">
        <v>29</v>
      </c>
      <c r="M30">
        <v>4</v>
      </c>
      <c r="N30">
        <v>16</v>
      </c>
      <c r="O30">
        <v>2359.84</v>
      </c>
      <c r="P30">
        <v>2077.88</v>
      </c>
    </row>
    <row r="31" spans="11:16" x14ac:dyDescent="0.2">
      <c r="K31">
        <v>30</v>
      </c>
      <c r="L31">
        <v>30</v>
      </c>
      <c r="M31">
        <v>6</v>
      </c>
      <c r="N31">
        <v>15</v>
      </c>
      <c r="O31">
        <v>186110.85</v>
      </c>
      <c r="P31">
        <v>155507.16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Pivots</vt:lpstr>
      <vt:lpstr>Calculations</vt:lpstr>
      <vt:lpstr>Clean Data</vt:lpstr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stutzman, emma</dc:creator>
  <cp:lastModifiedBy>stutzman, emma</cp:lastModifiedBy>
  <dcterms:created xsi:type="dcterms:W3CDTF">2026-09-20T15:47:45Z</dcterms:created>
  <dcterms:modified xsi:type="dcterms:W3CDTF">2026-10-04T23:42:28Z</dcterms:modified>
</cp:coreProperties>
</file>